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fati\Desktop\"/>
    </mc:Choice>
  </mc:AlternateContent>
  <xr:revisionPtr revIDLastSave="0" documentId="13_ncr:1_{7BCF5B71-B2EA-4230-9A9D-CD93A1E177C0}" xr6:coauthVersionLast="47" xr6:coauthVersionMax="47" xr10:uidLastSave="{00000000-0000-0000-0000-000000000000}"/>
  <bookViews>
    <workbookView xWindow="5250" yWindow="1305" windowWidth="30570" windowHeight="16665" tabRatio="478" activeTab="3" xr2:uid="{00000000-000D-0000-FFFF-FFFF00000000}"/>
  </bookViews>
  <sheets>
    <sheet name="SK" sheetId="3" r:id="rId1"/>
    <sheet name="SIVILASMA ONCESI" sheetId="1" r:id="rId2"/>
    <sheet name="SIVILASMA" sheetId="4" r:id="rId3"/>
    <sheet name="JET SONRASI-1" sheetId="2" r:id="rId4"/>
  </sheets>
  <definedNames>
    <definedName name="_xlnm.Print_Area" localSheetId="3">'JET SONRASI-1'!$A$1:$W$49</definedName>
    <definedName name="_xlnm.Print_Area" localSheetId="2">SIVILASMA!$A$1:$AD$49</definedName>
    <definedName name="_xlnm.Print_Area" localSheetId="1">'SIVILASMA ONCESI'!$A$1:$X$31</definedName>
    <definedName name="_xlnm.Print_Area" localSheetId="0">SK!$A$7:$K$31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6" i="4" l="1"/>
  <c r="B6" i="2"/>
  <c r="AG26" i="4"/>
  <c r="AG27" i="4"/>
  <c r="AG28" i="4"/>
  <c r="AG29" i="4"/>
  <c r="AG30" i="4"/>
  <c r="AG31" i="4"/>
  <c r="E26" i="4"/>
  <c r="E27" i="4"/>
  <c r="E28" i="4"/>
  <c r="E29" i="4"/>
  <c r="E30" i="4"/>
  <c r="E31" i="4"/>
  <c r="B10" i="4"/>
  <c r="R12" i="3"/>
  <c r="AG14" i="4" s="1"/>
  <c r="R13" i="3"/>
  <c r="AG15" i="4" s="1"/>
  <c r="R14" i="3"/>
  <c r="AG16" i="4" s="1"/>
  <c r="R15" i="3"/>
  <c r="AG17" i="4" s="1"/>
  <c r="R16" i="3"/>
  <c r="AG18" i="4" s="1"/>
  <c r="R17" i="3"/>
  <c r="AG19" i="4" s="1"/>
  <c r="R18" i="3"/>
  <c r="AG20" i="4" s="1"/>
  <c r="R19" i="3"/>
  <c r="AG21" i="4" s="1"/>
  <c r="R20" i="3"/>
  <c r="AG22" i="4" s="1"/>
  <c r="R21" i="3"/>
  <c r="AG23" i="4" s="1"/>
  <c r="R22" i="3"/>
  <c r="AG24" i="4" s="1"/>
  <c r="R23" i="3"/>
  <c r="AG25" i="4" s="1"/>
  <c r="R24" i="3"/>
  <c r="R25" i="3"/>
  <c r="R26" i="3"/>
  <c r="R27" i="3"/>
  <c r="R28" i="3"/>
  <c r="R29" i="3"/>
  <c r="R11" i="3"/>
  <c r="AG13" i="4" s="1"/>
  <c r="I11" i="4" l="1"/>
  <c r="I7" i="1"/>
  <c r="H7" i="1"/>
  <c r="H11" i="4"/>
  <c r="E11" i="4"/>
  <c r="E7" i="1"/>
  <c r="D7" i="4"/>
  <c r="D6" i="4"/>
  <c r="N8" i="4"/>
  <c r="N7" i="4"/>
  <c r="K6" i="4"/>
  <c r="J7" i="4" s="1"/>
  <c r="N6" i="4"/>
  <c r="D26" i="4"/>
  <c r="AF26" i="4" s="1"/>
  <c r="D27" i="4"/>
  <c r="AF27" i="4" s="1"/>
  <c r="D28" i="4"/>
  <c r="AF28" i="4" s="1"/>
  <c r="D29" i="4"/>
  <c r="AF29" i="4" s="1"/>
  <c r="C16" i="4"/>
  <c r="C25" i="4"/>
  <c r="C30" i="4"/>
  <c r="B6" i="1"/>
  <c r="W24" i="1"/>
  <c r="W25" i="1"/>
  <c r="M10" i="1"/>
  <c r="N10" i="1"/>
  <c r="O10" i="1"/>
  <c r="P10" i="1"/>
  <c r="Q10" i="1"/>
  <c r="R10" i="1"/>
  <c r="M11" i="1"/>
  <c r="N11" i="1"/>
  <c r="O11" i="1"/>
  <c r="P11" i="1"/>
  <c r="R11" i="1"/>
  <c r="M12" i="1"/>
  <c r="N12" i="1"/>
  <c r="O12" i="1"/>
  <c r="P12" i="1"/>
  <c r="R12" i="1"/>
  <c r="M13" i="1"/>
  <c r="N13" i="1"/>
  <c r="O13" i="1"/>
  <c r="P13" i="1"/>
  <c r="R13" i="1"/>
  <c r="M14" i="1"/>
  <c r="N14" i="1"/>
  <c r="O14" i="1"/>
  <c r="P14" i="1"/>
  <c r="R14" i="1"/>
  <c r="M15" i="1"/>
  <c r="N15" i="1"/>
  <c r="O15" i="1"/>
  <c r="P15" i="1"/>
  <c r="R15" i="1"/>
  <c r="M16" i="1"/>
  <c r="N16" i="1"/>
  <c r="O16" i="1"/>
  <c r="P16" i="1"/>
  <c r="R16" i="1"/>
  <c r="M17" i="1"/>
  <c r="N17" i="1"/>
  <c r="O17" i="1"/>
  <c r="P17" i="1"/>
  <c r="R17" i="1"/>
  <c r="S17" i="1" s="1"/>
  <c r="M18" i="1"/>
  <c r="N18" i="1"/>
  <c r="O18" i="1"/>
  <c r="P18" i="1"/>
  <c r="Q18" i="1"/>
  <c r="R18" i="1"/>
  <c r="M19" i="1"/>
  <c r="N19" i="1"/>
  <c r="O19" i="1"/>
  <c r="P19" i="1"/>
  <c r="R19" i="1"/>
  <c r="M20" i="1"/>
  <c r="N20" i="1"/>
  <c r="O20" i="1"/>
  <c r="P20" i="1"/>
  <c r="R20" i="1"/>
  <c r="M21" i="1"/>
  <c r="N21" i="1"/>
  <c r="O21" i="1"/>
  <c r="P21" i="1"/>
  <c r="R21" i="1"/>
  <c r="M22" i="1"/>
  <c r="N22" i="1"/>
  <c r="O22" i="1"/>
  <c r="AH26" i="4" s="1"/>
  <c r="P22" i="1"/>
  <c r="R22" i="1"/>
  <c r="M23" i="1"/>
  <c r="N23" i="1"/>
  <c r="O23" i="1"/>
  <c r="AH27" i="4" s="1"/>
  <c r="P23" i="1"/>
  <c r="Q23" i="1"/>
  <c r="R23" i="1"/>
  <c r="M24" i="1"/>
  <c r="N24" i="1"/>
  <c r="O24" i="1"/>
  <c r="AH28" i="4" s="1"/>
  <c r="P24" i="1"/>
  <c r="R24" i="1"/>
  <c r="M25" i="1"/>
  <c r="N25" i="1"/>
  <c r="O25" i="1"/>
  <c r="AH29" i="4" s="1"/>
  <c r="P25" i="1"/>
  <c r="R25" i="1"/>
  <c r="M26" i="1"/>
  <c r="N26" i="1"/>
  <c r="O26" i="1"/>
  <c r="AH30" i="4" s="1"/>
  <c r="P26" i="1"/>
  <c r="Q26" i="1"/>
  <c r="R26" i="1"/>
  <c r="M27" i="1"/>
  <c r="N27" i="1"/>
  <c r="O27" i="1"/>
  <c r="AH31" i="4" s="1"/>
  <c r="P27" i="1"/>
  <c r="R27" i="1"/>
  <c r="N9" i="1"/>
  <c r="O9" i="1"/>
  <c r="P9" i="1"/>
  <c r="R9" i="1"/>
  <c r="M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9" i="1"/>
  <c r="K10" i="1"/>
  <c r="K11" i="1"/>
  <c r="K21" i="1"/>
  <c r="K22" i="1"/>
  <c r="K23" i="1"/>
  <c r="K24" i="1"/>
  <c r="K25" i="1"/>
  <c r="K26" i="1"/>
  <c r="K27" i="1"/>
  <c r="K9" i="1"/>
  <c r="H9" i="1"/>
  <c r="D13" i="4" s="1"/>
  <c r="AF13" i="4" s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G22" i="1"/>
  <c r="D23" i="1"/>
  <c r="E23" i="1"/>
  <c r="F23" i="1"/>
  <c r="G23" i="1"/>
  <c r="D24" i="1"/>
  <c r="E24" i="1"/>
  <c r="F24" i="1"/>
  <c r="D25" i="1"/>
  <c r="E25" i="1"/>
  <c r="F25" i="1"/>
  <c r="D26" i="1"/>
  <c r="E26" i="1"/>
  <c r="F26" i="1"/>
  <c r="D27" i="1"/>
  <c r="E27" i="1"/>
  <c r="F27" i="1"/>
  <c r="G27" i="1"/>
  <c r="E9" i="1"/>
  <c r="F9" i="1"/>
  <c r="C23" i="1"/>
  <c r="C27" i="4" s="1"/>
  <c r="C24" i="1"/>
  <c r="C28" i="4" s="1"/>
  <c r="C25" i="1"/>
  <c r="C29" i="4" s="1"/>
  <c r="C26" i="1"/>
  <c r="C27" i="1"/>
  <c r="C31" i="4" s="1"/>
  <c r="C12" i="1"/>
  <c r="C9" i="1"/>
  <c r="C13" i="4" s="1"/>
  <c r="B10" i="1"/>
  <c r="B14" i="4" s="1"/>
  <c r="B11" i="1"/>
  <c r="B15" i="4" s="1"/>
  <c r="B12" i="1"/>
  <c r="B16" i="4" s="1"/>
  <c r="B13" i="1"/>
  <c r="B17" i="4" s="1"/>
  <c r="B14" i="1"/>
  <c r="B18" i="4" s="1"/>
  <c r="B15" i="1"/>
  <c r="B19" i="4" s="1"/>
  <c r="B16" i="1"/>
  <c r="B20" i="4" s="1"/>
  <c r="B17" i="1"/>
  <c r="B21" i="4" s="1"/>
  <c r="B18" i="1"/>
  <c r="B22" i="4" s="1"/>
  <c r="B19" i="1"/>
  <c r="B23" i="4" s="1"/>
  <c r="B20" i="1"/>
  <c r="B24" i="4" s="1"/>
  <c r="B21" i="1"/>
  <c r="B25" i="4" s="1"/>
  <c r="B22" i="1"/>
  <c r="B23" i="1"/>
  <c r="B24" i="1"/>
  <c r="B25" i="1"/>
  <c r="B29" i="4" s="1"/>
  <c r="B26" i="1"/>
  <c r="B30" i="4" s="1"/>
  <c r="B27" i="1"/>
  <c r="B31" i="4" s="1"/>
  <c r="B9" i="1"/>
  <c r="B13" i="4" s="1"/>
  <c r="H10" i="1"/>
  <c r="D14" i="4" s="1"/>
  <c r="AF14" i="4" s="1"/>
  <c r="H11" i="1"/>
  <c r="D15" i="4" s="1"/>
  <c r="AF15" i="4" s="1"/>
  <c r="H12" i="1"/>
  <c r="D16" i="4" s="1"/>
  <c r="AF16" i="4" s="1"/>
  <c r="H13" i="1"/>
  <c r="D17" i="4" s="1"/>
  <c r="AF17" i="4" s="1"/>
  <c r="H14" i="1"/>
  <c r="D18" i="4" s="1"/>
  <c r="AF18" i="4" s="1"/>
  <c r="H15" i="1"/>
  <c r="D19" i="4" s="1"/>
  <c r="AF19" i="4" s="1"/>
  <c r="H16" i="1"/>
  <c r="D20" i="4" s="1"/>
  <c r="AF20" i="4" s="1"/>
  <c r="H17" i="1"/>
  <c r="D21" i="4" s="1"/>
  <c r="AF21" i="4" s="1"/>
  <c r="H18" i="1"/>
  <c r="D22" i="4" s="1"/>
  <c r="AF22" i="4" s="1"/>
  <c r="H19" i="1"/>
  <c r="D23" i="4" s="1"/>
  <c r="AF23" i="4" s="1"/>
  <c r="H20" i="1"/>
  <c r="D24" i="4" s="1"/>
  <c r="AF24" i="4" s="1"/>
  <c r="H21" i="1"/>
  <c r="D25" i="4" s="1"/>
  <c r="AF25" i="4" s="1"/>
  <c r="H22" i="1"/>
  <c r="H23" i="1"/>
  <c r="H24" i="1"/>
  <c r="H25" i="1"/>
  <c r="H26" i="1"/>
  <c r="D30" i="4" s="1"/>
  <c r="AF30" i="4" s="1"/>
  <c r="H27" i="1"/>
  <c r="D31" i="4" s="1"/>
  <c r="AF31" i="4" s="1"/>
  <c r="D9" i="1"/>
  <c r="L12" i="3"/>
  <c r="L13" i="3"/>
  <c r="L14" i="3"/>
  <c r="K12" i="1" s="1"/>
  <c r="L15" i="3"/>
  <c r="K13" i="1" s="1"/>
  <c r="L16" i="3"/>
  <c r="K14" i="1" s="1"/>
  <c r="L17" i="3"/>
  <c r="K15" i="1" s="1"/>
  <c r="L18" i="3"/>
  <c r="K16" i="1" s="1"/>
  <c r="L19" i="3"/>
  <c r="K17" i="1" s="1"/>
  <c r="L20" i="3"/>
  <c r="K18" i="1" s="1"/>
  <c r="L21" i="3"/>
  <c r="K19" i="1" s="1"/>
  <c r="L22" i="3"/>
  <c r="K20" i="1" s="1"/>
  <c r="L23" i="3"/>
  <c r="L24" i="3"/>
  <c r="L25" i="3"/>
  <c r="L26" i="3"/>
  <c r="L27" i="3"/>
  <c r="L28" i="3"/>
  <c r="L29" i="3"/>
  <c r="L11" i="3"/>
  <c r="Q11" i="1"/>
  <c r="Q12" i="1"/>
  <c r="Q13" i="1"/>
  <c r="Q14" i="1"/>
  <c r="Q15" i="1"/>
  <c r="Q16" i="1"/>
  <c r="Q17" i="1"/>
  <c r="Q19" i="1"/>
  <c r="Q20" i="1"/>
  <c r="Q21" i="1"/>
  <c r="Q22" i="1"/>
  <c r="Q24" i="1"/>
  <c r="Q25" i="1"/>
  <c r="Q27" i="1"/>
  <c r="Q9" i="1"/>
  <c r="N4" i="1"/>
  <c r="N3" i="1"/>
  <c r="N2" i="1"/>
  <c r="K2" i="1"/>
  <c r="D3" i="1"/>
  <c r="D2" i="1"/>
  <c r="K5" i="3"/>
  <c r="J5" i="3"/>
  <c r="I12" i="3"/>
  <c r="I10" i="1" s="1"/>
  <c r="I13" i="3"/>
  <c r="I11" i="1" s="1"/>
  <c r="I14" i="3"/>
  <c r="I12" i="1" s="1"/>
  <c r="I15" i="3"/>
  <c r="I13" i="1" s="1"/>
  <c r="I16" i="3"/>
  <c r="I14" i="1" s="1"/>
  <c r="I17" i="3"/>
  <c r="I15" i="1" s="1"/>
  <c r="I18" i="3"/>
  <c r="I16" i="1" s="1"/>
  <c r="I19" i="3"/>
  <c r="I17" i="1" s="1"/>
  <c r="I20" i="3"/>
  <c r="I18" i="1" s="1"/>
  <c r="I21" i="3"/>
  <c r="I19" i="1" s="1"/>
  <c r="I22" i="3"/>
  <c r="I20" i="1" s="1"/>
  <c r="I23" i="3"/>
  <c r="I21" i="1" s="1"/>
  <c r="I24" i="3"/>
  <c r="I22" i="1" s="1"/>
  <c r="I25" i="3"/>
  <c r="I23" i="1" s="1"/>
  <c r="I26" i="3"/>
  <c r="I24" i="1" s="1"/>
  <c r="I27" i="3"/>
  <c r="I25" i="1" s="1"/>
  <c r="I28" i="3"/>
  <c r="I26" i="1" s="1"/>
  <c r="I29" i="3"/>
  <c r="I27" i="1" s="1"/>
  <c r="I11" i="3"/>
  <c r="I9" i="1" s="1"/>
  <c r="G29" i="3"/>
  <c r="G28" i="3"/>
  <c r="G26" i="1" s="1"/>
  <c r="G27" i="3"/>
  <c r="G25" i="1" s="1"/>
  <c r="G26" i="3"/>
  <c r="G24" i="1" s="1"/>
  <c r="G25" i="3"/>
  <c r="G24" i="3"/>
  <c r="C24" i="3"/>
  <c r="C22" i="1" s="1"/>
  <c r="C26" i="4" s="1"/>
  <c r="G23" i="3"/>
  <c r="E25" i="4" s="1"/>
  <c r="G22" i="3"/>
  <c r="G21" i="3"/>
  <c r="G20" i="3"/>
  <c r="G19" i="3"/>
  <c r="G18" i="3"/>
  <c r="E20" i="4" s="1"/>
  <c r="G17" i="3"/>
  <c r="G16" i="3"/>
  <c r="G15" i="3"/>
  <c r="G14" i="3"/>
  <c r="G13" i="3"/>
  <c r="G12" i="3"/>
  <c r="E14" i="4" s="1"/>
  <c r="C12" i="3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1" i="1" s="1"/>
  <c r="G11" i="3"/>
  <c r="E13" i="4" s="1"/>
  <c r="I9" i="4"/>
  <c r="G9" i="4"/>
  <c r="W27" i="1" l="1"/>
  <c r="W26" i="1"/>
  <c r="S10" i="1"/>
  <c r="S24" i="1"/>
  <c r="S22" i="1"/>
  <c r="S12" i="1"/>
  <c r="S23" i="1"/>
  <c r="S11" i="1"/>
  <c r="AA19" i="4"/>
  <c r="AI19" i="4" s="1"/>
  <c r="Y19" i="4"/>
  <c r="AA17" i="4"/>
  <c r="AI17" i="4" s="1"/>
  <c r="Y17" i="4"/>
  <c r="AA24" i="4"/>
  <c r="AI24" i="4" s="1"/>
  <c r="Y24" i="4"/>
  <c r="AA20" i="4"/>
  <c r="AI20" i="4" s="1"/>
  <c r="Y20" i="4"/>
  <c r="AA13" i="4"/>
  <c r="AI13" i="4" s="1"/>
  <c r="Y13" i="4"/>
  <c r="AA25" i="4"/>
  <c r="AI25" i="4" s="1"/>
  <c r="Y25" i="4"/>
  <c r="AA23" i="4"/>
  <c r="AI23" i="4" s="1"/>
  <c r="Y23" i="4"/>
  <c r="AA22" i="4"/>
  <c r="AI22" i="4" s="1"/>
  <c r="Y22" i="4"/>
  <c r="AA21" i="4"/>
  <c r="AI21" i="4" s="1"/>
  <c r="Y21" i="4"/>
  <c r="V23" i="1"/>
  <c r="U23" i="1"/>
  <c r="S27" i="1"/>
  <c r="S13" i="1"/>
  <c r="V27" i="1"/>
  <c r="S26" i="1"/>
  <c r="V26" i="1"/>
  <c r="W23" i="1"/>
  <c r="S25" i="1"/>
  <c r="V25" i="1"/>
  <c r="AA18" i="4"/>
  <c r="AI18" i="4" s="1"/>
  <c r="Y18" i="4"/>
  <c r="V24" i="1"/>
  <c r="AA16" i="4"/>
  <c r="AI16" i="4" s="1"/>
  <c r="S20" i="1"/>
  <c r="AA14" i="4"/>
  <c r="AI14" i="4" s="1"/>
  <c r="Y14" i="4"/>
  <c r="AA31" i="4"/>
  <c r="AI31" i="4" s="1"/>
  <c r="Y31" i="4"/>
  <c r="AA30" i="4"/>
  <c r="AI30" i="4" s="1"/>
  <c r="Y30" i="4"/>
  <c r="AA15" i="4"/>
  <c r="AI15" i="4" s="1"/>
  <c r="Y15" i="4"/>
  <c r="S21" i="1"/>
  <c r="S19" i="1"/>
  <c r="B27" i="4"/>
  <c r="V27" i="4" s="1"/>
  <c r="S16" i="1"/>
  <c r="AA29" i="4"/>
  <c r="AI29" i="4" s="1"/>
  <c r="Y29" i="4"/>
  <c r="B28" i="4"/>
  <c r="K28" i="4" s="1"/>
  <c r="B26" i="4"/>
  <c r="L26" i="4" s="1"/>
  <c r="W22" i="1"/>
  <c r="S15" i="1"/>
  <c r="W21" i="1"/>
  <c r="S14" i="1"/>
  <c r="U25" i="1"/>
  <c r="S18" i="1"/>
  <c r="U24" i="1"/>
  <c r="G16" i="1"/>
  <c r="G21" i="1"/>
  <c r="AA17" i="1"/>
  <c r="AH21" i="4"/>
  <c r="AA15" i="1"/>
  <c r="AH19" i="4"/>
  <c r="AA13" i="1"/>
  <c r="AH17" i="4"/>
  <c r="AA21" i="1"/>
  <c r="AH25" i="4"/>
  <c r="AA18" i="1"/>
  <c r="AH22" i="4"/>
  <c r="AA16" i="1"/>
  <c r="AH20" i="4"/>
  <c r="AA11" i="1"/>
  <c r="AH15" i="4"/>
  <c r="AA10" i="1"/>
  <c r="AH14" i="4"/>
  <c r="AA19" i="1"/>
  <c r="AH23" i="4"/>
  <c r="AA12" i="1"/>
  <c r="AH16" i="4"/>
  <c r="AA9" i="1"/>
  <c r="AH13" i="4"/>
  <c r="AA20" i="1"/>
  <c r="AH24" i="4"/>
  <c r="AA14" i="1"/>
  <c r="AH18" i="4"/>
  <c r="G14" i="1"/>
  <c r="E18" i="4"/>
  <c r="G19" i="1"/>
  <c r="E23" i="4"/>
  <c r="G11" i="1"/>
  <c r="E15" i="4"/>
  <c r="G20" i="1"/>
  <c r="E24" i="4"/>
  <c r="G9" i="1"/>
  <c r="G17" i="1"/>
  <c r="E21" i="4"/>
  <c r="G15" i="1"/>
  <c r="E19" i="4"/>
  <c r="G10" i="1"/>
  <c r="G13" i="1"/>
  <c r="E17" i="4"/>
  <c r="G12" i="1"/>
  <c r="E16" i="4"/>
  <c r="G18" i="1"/>
  <c r="E22" i="4"/>
  <c r="F17" i="4"/>
  <c r="F19" i="4"/>
  <c r="J26" i="4"/>
  <c r="G20" i="4"/>
  <c r="G21" i="4"/>
  <c r="G25" i="4"/>
  <c r="G23" i="4"/>
  <c r="G24" i="4"/>
  <c r="F20" i="4"/>
  <c r="G22" i="4"/>
  <c r="P13" i="4"/>
  <c r="O13" i="4"/>
  <c r="T13" i="4"/>
  <c r="M13" i="4"/>
  <c r="R13" i="4"/>
  <c r="N31" i="4"/>
  <c r="U31" i="4"/>
  <c r="V31" i="4"/>
  <c r="M31" i="4"/>
  <c r="R31" i="4"/>
  <c r="S31" i="4"/>
  <c r="Q31" i="4"/>
  <c r="Z31" i="4"/>
  <c r="O31" i="4"/>
  <c r="P31" i="4"/>
  <c r="X31" i="4"/>
  <c r="T31" i="4"/>
  <c r="L31" i="4"/>
  <c r="W31" i="4"/>
  <c r="K31" i="4"/>
  <c r="S30" i="4"/>
  <c r="T30" i="4"/>
  <c r="Q30" i="4"/>
  <c r="R30" i="4"/>
  <c r="Z30" i="4"/>
  <c r="U30" i="4"/>
  <c r="L30" i="4"/>
  <c r="M30" i="4"/>
  <c r="O30" i="4"/>
  <c r="X30" i="4"/>
  <c r="V30" i="4"/>
  <c r="N30" i="4"/>
  <c r="P30" i="4"/>
  <c r="W30" i="4"/>
  <c r="K30" i="4"/>
  <c r="I25" i="4"/>
  <c r="H25" i="4"/>
  <c r="T25" i="4"/>
  <c r="P25" i="4"/>
  <c r="M25" i="4"/>
  <c r="R25" i="4"/>
  <c r="O25" i="4"/>
  <c r="Z29" i="4"/>
  <c r="X29" i="4"/>
  <c r="V29" i="4"/>
  <c r="W29" i="4"/>
  <c r="M29" i="4"/>
  <c r="R29" i="4"/>
  <c r="O29" i="4"/>
  <c r="T29" i="4"/>
  <c r="L29" i="4"/>
  <c r="P29" i="4"/>
  <c r="U29" i="4"/>
  <c r="S29" i="4"/>
  <c r="Q29" i="4"/>
  <c r="N29" i="4"/>
  <c r="K29" i="4"/>
  <c r="T28" i="4"/>
  <c r="V28" i="4"/>
  <c r="Z28" i="4"/>
  <c r="W28" i="4"/>
  <c r="O28" i="4"/>
  <c r="Q28" i="4"/>
  <c r="P28" i="4"/>
  <c r="U28" i="4"/>
  <c r="X28" i="4"/>
  <c r="L28" i="4"/>
  <c r="P24" i="4"/>
  <c r="M24" i="4"/>
  <c r="T24" i="4"/>
  <c r="O24" i="4"/>
  <c r="P23" i="4"/>
  <c r="M23" i="4"/>
  <c r="O23" i="4"/>
  <c r="T23" i="4"/>
  <c r="F22" i="4"/>
  <c r="M22" i="4"/>
  <c r="P22" i="4"/>
  <c r="O22" i="4"/>
  <c r="T22" i="4"/>
  <c r="R16" i="4"/>
  <c r="P16" i="4"/>
  <c r="O16" i="4"/>
  <c r="T16" i="4"/>
  <c r="J30" i="4"/>
  <c r="F21" i="4"/>
  <c r="P21" i="4"/>
  <c r="T21" i="4"/>
  <c r="M21" i="4"/>
  <c r="O21" i="4"/>
  <c r="O18" i="4"/>
  <c r="T18" i="4"/>
  <c r="M18" i="4"/>
  <c r="P18" i="4"/>
  <c r="M15" i="4"/>
  <c r="O15" i="4"/>
  <c r="T15" i="4"/>
  <c r="P15" i="4"/>
  <c r="M17" i="4"/>
  <c r="T17" i="4"/>
  <c r="P17" i="4"/>
  <c r="O17" i="4"/>
  <c r="O14" i="4"/>
  <c r="T14" i="4"/>
  <c r="P14" i="4"/>
  <c r="F23" i="4"/>
  <c r="O26" i="4"/>
  <c r="P26" i="4"/>
  <c r="M26" i="4"/>
  <c r="T26" i="4"/>
  <c r="V26" i="4"/>
  <c r="X26" i="4"/>
  <c r="J29" i="4"/>
  <c r="P20" i="4"/>
  <c r="O20" i="4"/>
  <c r="M20" i="4"/>
  <c r="T20" i="4"/>
  <c r="O19" i="4"/>
  <c r="T19" i="4"/>
  <c r="M19" i="4"/>
  <c r="P19" i="4"/>
  <c r="G17" i="4"/>
  <c r="F25" i="4"/>
  <c r="H20" i="4"/>
  <c r="F24" i="4"/>
  <c r="J31" i="4"/>
  <c r="I13" i="4"/>
  <c r="F18" i="4"/>
  <c r="G18" i="4"/>
  <c r="H17" i="4"/>
  <c r="I31" i="4"/>
  <c r="G19" i="4"/>
  <c r="I30" i="4"/>
  <c r="I29" i="4"/>
  <c r="G15" i="4"/>
  <c r="F30" i="4"/>
  <c r="F29" i="4"/>
  <c r="H19" i="4"/>
  <c r="H18" i="4"/>
  <c r="H16" i="4"/>
  <c r="H30" i="4"/>
  <c r="K7" i="4"/>
  <c r="V20" i="4" s="1"/>
  <c r="F15" i="4"/>
  <c r="H29" i="4"/>
  <c r="H15" i="4"/>
  <c r="F14" i="4"/>
  <c r="G13" i="4"/>
  <c r="G30" i="4"/>
  <c r="G29" i="4"/>
  <c r="H24" i="4"/>
  <c r="G31" i="4"/>
  <c r="H23" i="4"/>
  <c r="H14" i="4"/>
  <c r="G14" i="4"/>
  <c r="H13" i="4"/>
  <c r="F16" i="4"/>
  <c r="F13" i="4"/>
  <c r="H22" i="4"/>
  <c r="G16" i="4"/>
  <c r="H31" i="4"/>
  <c r="F31" i="4"/>
  <c r="H21" i="4"/>
  <c r="I16" i="4"/>
  <c r="C11" i="1"/>
  <c r="C10" i="1"/>
  <c r="W9" i="1"/>
  <c r="C20" i="1"/>
  <c r="U27" i="1"/>
  <c r="V22" i="1"/>
  <c r="C19" i="1"/>
  <c r="U26" i="1"/>
  <c r="C18" i="1"/>
  <c r="C15" i="1"/>
  <c r="U22" i="1"/>
  <c r="W12" i="1"/>
  <c r="C16" i="1"/>
  <c r="C14" i="1"/>
  <c r="C17" i="1"/>
  <c r="C13" i="1"/>
  <c r="AD26" i="4"/>
  <c r="AD13" i="4"/>
  <c r="AD28" i="4"/>
  <c r="AD29" i="4"/>
  <c r="AD30" i="4"/>
  <c r="AD31" i="4"/>
  <c r="B42" i="2"/>
  <c r="K42" i="2" s="1"/>
  <c r="B31" i="2"/>
  <c r="K31" i="2" s="1"/>
  <c r="B32" i="2"/>
  <c r="K32" i="2" s="1"/>
  <c r="B33" i="2"/>
  <c r="K33" i="2" s="1"/>
  <c r="B34" i="2"/>
  <c r="K34" i="2" s="1"/>
  <c r="B35" i="2"/>
  <c r="K35" i="2" s="1"/>
  <c r="B36" i="2"/>
  <c r="K36" i="2" s="1"/>
  <c r="B37" i="2"/>
  <c r="K37" i="2" s="1"/>
  <c r="B38" i="2"/>
  <c r="K38" i="2" s="1"/>
  <c r="B39" i="2"/>
  <c r="K39" i="2" s="1"/>
  <c r="B40" i="2"/>
  <c r="K40" i="2" s="1"/>
  <c r="B41" i="2"/>
  <c r="K41" i="2" s="1"/>
  <c r="B43" i="2"/>
  <c r="B44" i="2"/>
  <c r="B45" i="2"/>
  <c r="B46" i="2"/>
  <c r="B47" i="2"/>
  <c r="B48" i="2"/>
  <c r="B30" i="2"/>
  <c r="K30" i="2" s="1"/>
  <c r="S28" i="4" l="1"/>
  <c r="H26" i="4"/>
  <c r="M28" i="4"/>
  <c r="I28" i="4"/>
  <c r="G26" i="4"/>
  <c r="U26" i="4"/>
  <c r="N28" i="4"/>
  <c r="I26" i="4"/>
  <c r="R26" i="4"/>
  <c r="R28" i="4"/>
  <c r="F26" i="4"/>
  <c r="F28" i="4"/>
  <c r="Z26" i="4"/>
  <c r="G28" i="4"/>
  <c r="S26" i="4"/>
  <c r="K26" i="4"/>
  <c r="H28" i="4"/>
  <c r="N26" i="4"/>
  <c r="W26" i="4"/>
  <c r="J28" i="4"/>
  <c r="Q26" i="4"/>
  <c r="M27" i="4"/>
  <c r="N48" i="2"/>
  <c r="K48" i="2"/>
  <c r="AD48" i="2"/>
  <c r="AA27" i="4"/>
  <c r="AI27" i="4" s="1"/>
  <c r="Y27" i="4"/>
  <c r="AD44" i="2"/>
  <c r="K44" i="2"/>
  <c r="N44" i="2"/>
  <c r="AD47" i="2"/>
  <c r="N47" i="2"/>
  <c r="K47" i="2"/>
  <c r="AD27" i="4"/>
  <c r="I27" i="4"/>
  <c r="AD46" i="2"/>
  <c r="N46" i="2"/>
  <c r="K46" i="2"/>
  <c r="AD45" i="2"/>
  <c r="N45" i="2"/>
  <c r="K45" i="2"/>
  <c r="W15" i="1"/>
  <c r="C19" i="4"/>
  <c r="S27" i="4"/>
  <c r="Q27" i="4"/>
  <c r="W17" i="1"/>
  <c r="C21" i="4"/>
  <c r="W16" i="1"/>
  <c r="C20" i="4"/>
  <c r="K27" i="4"/>
  <c r="W19" i="1"/>
  <c r="C23" i="4"/>
  <c r="L27" i="4"/>
  <c r="X27" i="4"/>
  <c r="W10" i="1"/>
  <c r="C14" i="4"/>
  <c r="U27" i="4"/>
  <c r="AD43" i="2"/>
  <c r="N43" i="2"/>
  <c r="K43" i="2"/>
  <c r="F27" i="4"/>
  <c r="H27" i="4"/>
  <c r="N27" i="4"/>
  <c r="Z27" i="4"/>
  <c r="W20" i="1"/>
  <c r="C24" i="4"/>
  <c r="W11" i="1"/>
  <c r="C15" i="4"/>
  <c r="AD15" i="4" s="1"/>
  <c r="P27" i="4"/>
  <c r="J27" i="4"/>
  <c r="W27" i="4"/>
  <c r="R27" i="4"/>
  <c r="W14" i="1"/>
  <c r="C18" i="4"/>
  <c r="W18" i="1"/>
  <c r="C22" i="4"/>
  <c r="T27" i="4"/>
  <c r="AA26" i="4"/>
  <c r="AI26" i="4" s="1"/>
  <c r="Y26" i="4"/>
  <c r="W13" i="1"/>
  <c r="C17" i="4"/>
  <c r="G27" i="4"/>
  <c r="O27" i="4"/>
  <c r="AA28" i="4"/>
  <c r="AI28" i="4" s="1"/>
  <c r="Y28" i="4"/>
  <c r="E33" i="4"/>
  <c r="V18" i="4"/>
  <c r="H48" i="2"/>
  <c r="D48" i="2"/>
  <c r="G48" i="2"/>
  <c r="F48" i="2"/>
  <c r="H47" i="2"/>
  <c r="F47" i="2"/>
  <c r="D47" i="2"/>
  <c r="G47" i="2"/>
  <c r="F46" i="2"/>
  <c r="H46" i="2"/>
  <c r="G46" i="2"/>
  <c r="D46" i="2"/>
  <c r="H45" i="2"/>
  <c r="F45" i="2"/>
  <c r="D45" i="2"/>
  <c r="G45" i="2"/>
  <c r="H44" i="2"/>
  <c r="G44" i="2"/>
  <c r="F44" i="2"/>
  <c r="D44" i="2"/>
  <c r="H43" i="2"/>
  <c r="F43" i="2"/>
  <c r="D43" i="2"/>
  <c r="G43" i="2"/>
  <c r="V14" i="4"/>
  <c r="V19" i="4"/>
  <c r="J25" i="4"/>
  <c r="S25" i="4" s="1"/>
  <c r="V23" i="4"/>
  <c r="V24" i="4"/>
  <c r="V16" i="4"/>
  <c r="V17" i="4"/>
  <c r="V25" i="4"/>
  <c r="V21" i="4"/>
  <c r="V15" i="4"/>
  <c r="V22" i="4"/>
  <c r="V13" i="4"/>
  <c r="J16" i="4"/>
  <c r="J13" i="4"/>
  <c r="S13" i="4" l="1"/>
  <c r="R19" i="4"/>
  <c r="I19" i="4"/>
  <c r="J19" i="4" s="1"/>
  <c r="N19" i="4" s="1"/>
  <c r="Q19" i="4" s="1"/>
  <c r="R24" i="4"/>
  <c r="I24" i="4"/>
  <c r="J24" i="4" s="1"/>
  <c r="S24" i="4" s="1"/>
  <c r="R17" i="4"/>
  <c r="I17" i="4"/>
  <c r="J17" i="4" s="1"/>
  <c r="S17" i="4" s="1"/>
  <c r="AD14" i="4"/>
  <c r="R14" i="4"/>
  <c r="I14" i="4"/>
  <c r="J14" i="4" s="1"/>
  <c r="S14" i="4" s="1"/>
  <c r="I23" i="4"/>
  <c r="J23" i="4" s="1"/>
  <c r="S23" i="4" s="1"/>
  <c r="R23" i="4"/>
  <c r="I18" i="4"/>
  <c r="J18" i="4" s="1"/>
  <c r="S18" i="4" s="1"/>
  <c r="R18" i="4"/>
  <c r="R21" i="4"/>
  <c r="I21" i="4"/>
  <c r="J21" i="4" s="1"/>
  <c r="S21" i="4" s="1"/>
  <c r="I15" i="4"/>
  <c r="J15" i="4" s="1"/>
  <c r="N15" i="4" s="1"/>
  <c r="Q15" i="4" s="1"/>
  <c r="R15" i="4"/>
  <c r="R22" i="4"/>
  <c r="I22" i="4"/>
  <c r="J22" i="4" s="1"/>
  <c r="S22" i="4" s="1"/>
  <c r="R20" i="4"/>
  <c r="I20" i="4"/>
  <c r="J20" i="4" s="1"/>
  <c r="N20" i="4" s="1"/>
  <c r="Q20" i="4" s="1"/>
  <c r="U20" i="4" s="1"/>
  <c r="N25" i="4"/>
  <c r="Q25" i="4" s="1"/>
  <c r="U25" i="4" s="1"/>
  <c r="N23" i="4"/>
  <c r="Q23" i="4" s="1"/>
  <c r="N13" i="4"/>
  <c r="Q13" i="4" s="1"/>
  <c r="S16" i="4"/>
  <c r="AD16" i="4"/>
  <c r="D5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9" i="2"/>
  <c r="S19" i="4" l="1"/>
  <c r="N17" i="4"/>
  <c r="Q17" i="4" s="1"/>
  <c r="N21" i="4"/>
  <c r="Q21" i="4" s="1"/>
  <c r="U21" i="4" s="1"/>
  <c r="N22" i="4"/>
  <c r="Q22" i="4" s="1"/>
  <c r="U22" i="4" s="1"/>
  <c r="N18" i="4"/>
  <c r="Q18" i="4" s="1"/>
  <c r="N24" i="4"/>
  <c r="Q24" i="4" s="1"/>
  <c r="S15" i="4"/>
  <c r="S20" i="4"/>
  <c r="I15" i="2"/>
  <c r="E15" i="2"/>
  <c r="J15" i="2"/>
  <c r="K15" i="2" s="1"/>
  <c r="D15" i="2"/>
  <c r="M15" i="2"/>
  <c r="N15" i="2" s="1"/>
  <c r="O15" i="2" s="1"/>
  <c r="T15" i="2"/>
  <c r="G15" i="2"/>
  <c r="F15" i="2"/>
  <c r="H15" i="2" s="1"/>
  <c r="I11" i="2"/>
  <c r="M11" i="2"/>
  <c r="N11" i="2" s="1"/>
  <c r="O11" i="2" s="1"/>
  <c r="J11" i="2"/>
  <c r="D11" i="2"/>
  <c r="E11" i="2"/>
  <c r="F11" i="2" s="1"/>
  <c r="T11" i="2"/>
  <c r="G11" i="2"/>
  <c r="E10" i="2"/>
  <c r="F10" i="2" s="1"/>
  <c r="J10" i="2"/>
  <c r="D10" i="2"/>
  <c r="M10" i="2"/>
  <c r="N10" i="2" s="1"/>
  <c r="O10" i="2" s="1"/>
  <c r="G10" i="2"/>
  <c r="I10" i="2"/>
  <c r="E13" i="2"/>
  <c r="I13" i="2"/>
  <c r="M13" i="2"/>
  <c r="J13" i="2"/>
  <c r="K13" i="2" s="1"/>
  <c r="N13" i="2"/>
  <c r="D13" i="2"/>
  <c r="F13" i="2"/>
  <c r="O13" i="2"/>
  <c r="G13" i="2"/>
  <c r="T13" i="2"/>
  <c r="J9" i="2"/>
  <c r="G9" i="2"/>
  <c r="E9" i="2"/>
  <c r="T9" i="2" s="1"/>
  <c r="D9" i="2"/>
  <c r="I9" i="2"/>
  <c r="M9" i="2"/>
  <c r="N9" i="2" s="1"/>
  <c r="O9" i="2" s="1"/>
  <c r="C27" i="2"/>
  <c r="O27" i="2"/>
  <c r="P27" i="2"/>
  <c r="U27" i="2"/>
  <c r="E27" i="2"/>
  <c r="F27" i="2"/>
  <c r="K27" i="2"/>
  <c r="H27" i="2"/>
  <c r="J27" i="2"/>
  <c r="T27" i="2"/>
  <c r="G27" i="2"/>
  <c r="N27" i="2"/>
  <c r="S27" i="2"/>
  <c r="Q27" i="2"/>
  <c r="D27" i="2"/>
  <c r="I27" i="2"/>
  <c r="M27" i="2"/>
  <c r="R27" i="2"/>
  <c r="E48" i="2" s="1"/>
  <c r="S23" i="2"/>
  <c r="P23" i="2"/>
  <c r="D23" i="2"/>
  <c r="F23" i="2"/>
  <c r="I23" i="2"/>
  <c r="K23" i="2"/>
  <c r="T23" i="2"/>
  <c r="G23" i="2"/>
  <c r="O23" i="2"/>
  <c r="U23" i="2"/>
  <c r="H23" i="2"/>
  <c r="Q23" i="2"/>
  <c r="R23" i="2"/>
  <c r="E44" i="2" s="1"/>
  <c r="E23" i="2"/>
  <c r="J23" i="2"/>
  <c r="N23" i="2"/>
  <c r="M23" i="2"/>
  <c r="G16" i="2"/>
  <c r="I16" i="2"/>
  <c r="D16" i="2"/>
  <c r="M16" i="2"/>
  <c r="N16" i="2" s="1"/>
  <c r="O16" i="2" s="1"/>
  <c r="J16" i="2"/>
  <c r="K16" i="2" s="1"/>
  <c r="E16" i="2"/>
  <c r="T16" i="2" s="1"/>
  <c r="J14" i="2"/>
  <c r="D14" i="2"/>
  <c r="M14" i="2"/>
  <c r="N14" i="2" s="1"/>
  <c r="O14" i="2" s="1"/>
  <c r="I14" i="2"/>
  <c r="E14" i="2"/>
  <c r="T14" i="2" s="1"/>
  <c r="G14" i="2"/>
  <c r="D12" i="2"/>
  <c r="E12" i="2"/>
  <c r="F12" i="2" s="1"/>
  <c r="J12" i="2"/>
  <c r="I12" i="2"/>
  <c r="M12" i="2"/>
  <c r="N12" i="2" s="1"/>
  <c r="O12" i="2" s="1"/>
  <c r="G12" i="2"/>
  <c r="C25" i="2"/>
  <c r="J25" i="2"/>
  <c r="O25" i="2"/>
  <c r="N25" i="2"/>
  <c r="P25" i="2"/>
  <c r="D25" i="2"/>
  <c r="S25" i="2"/>
  <c r="T25" i="2"/>
  <c r="G25" i="2"/>
  <c r="U25" i="2"/>
  <c r="F25" i="2"/>
  <c r="K25" i="2"/>
  <c r="H25" i="2"/>
  <c r="Q25" i="2"/>
  <c r="I25" i="2"/>
  <c r="M25" i="2"/>
  <c r="R25" i="2"/>
  <c r="E46" i="2" s="1"/>
  <c r="E25" i="2"/>
  <c r="N24" i="2"/>
  <c r="T24" i="2"/>
  <c r="P24" i="2"/>
  <c r="S24" i="2"/>
  <c r="U24" i="2"/>
  <c r="M24" i="2"/>
  <c r="O24" i="2"/>
  <c r="G24" i="2"/>
  <c r="H24" i="2"/>
  <c r="I24" i="2"/>
  <c r="R24" i="2"/>
  <c r="E45" i="2" s="1"/>
  <c r="F24" i="2"/>
  <c r="Q24" i="2"/>
  <c r="K24" i="2"/>
  <c r="J24" i="2"/>
  <c r="E24" i="2"/>
  <c r="D24" i="2"/>
  <c r="D21" i="2"/>
  <c r="M21" i="2"/>
  <c r="N21" i="2" s="1"/>
  <c r="O21" i="2" s="1"/>
  <c r="E21" i="2"/>
  <c r="F21" i="2" s="1"/>
  <c r="G21" i="2"/>
  <c r="I21" i="2"/>
  <c r="J21" i="2"/>
  <c r="D20" i="2"/>
  <c r="I20" i="2"/>
  <c r="M20" i="2"/>
  <c r="N20" i="2" s="1"/>
  <c r="O20" i="2" s="1"/>
  <c r="J20" i="2"/>
  <c r="G20" i="2"/>
  <c r="E20" i="2"/>
  <c r="T20" i="2" s="1"/>
  <c r="E18" i="2"/>
  <c r="F18" i="2" s="1"/>
  <c r="G18" i="2"/>
  <c r="J18" i="2"/>
  <c r="I18" i="2"/>
  <c r="M18" i="2"/>
  <c r="N18" i="2" s="1"/>
  <c r="O18" i="2" s="1"/>
  <c r="D18" i="2"/>
  <c r="E26" i="2"/>
  <c r="J26" i="2"/>
  <c r="H26" i="2"/>
  <c r="I26" i="2"/>
  <c r="N26" i="2"/>
  <c r="K26" i="2"/>
  <c r="U26" i="2"/>
  <c r="Q26" i="2"/>
  <c r="D26" i="2"/>
  <c r="S26" i="2"/>
  <c r="F26" i="2"/>
  <c r="O26" i="2"/>
  <c r="T26" i="2"/>
  <c r="G26" i="2"/>
  <c r="P26" i="2"/>
  <c r="M26" i="2"/>
  <c r="R26" i="2"/>
  <c r="E47" i="2" s="1"/>
  <c r="L22" i="2"/>
  <c r="F22" i="2"/>
  <c r="U22" i="2"/>
  <c r="I22" i="2"/>
  <c r="K22" i="2"/>
  <c r="G22" i="2"/>
  <c r="Q22" i="2"/>
  <c r="R22" i="2"/>
  <c r="E43" i="2" s="1"/>
  <c r="O22" i="2"/>
  <c r="D22" i="2"/>
  <c r="E22" i="2"/>
  <c r="T22" i="2"/>
  <c r="P22" i="2"/>
  <c r="H22" i="2"/>
  <c r="J22" i="2"/>
  <c r="S22" i="2"/>
  <c r="N22" i="2"/>
  <c r="M22" i="2"/>
  <c r="D19" i="2"/>
  <c r="G19" i="2"/>
  <c r="I19" i="2"/>
  <c r="M19" i="2"/>
  <c r="N19" i="2" s="1"/>
  <c r="O19" i="2" s="1"/>
  <c r="E19" i="2"/>
  <c r="T19" i="2" s="1"/>
  <c r="J19" i="2"/>
  <c r="G17" i="2"/>
  <c r="D17" i="2"/>
  <c r="I17" i="2"/>
  <c r="M17" i="2"/>
  <c r="N17" i="2" s="1"/>
  <c r="O17" i="2" s="1"/>
  <c r="E17" i="2"/>
  <c r="T17" i="2" s="1"/>
  <c r="J17" i="2"/>
  <c r="U23" i="4"/>
  <c r="U15" i="4"/>
  <c r="U17" i="4"/>
  <c r="U19" i="4"/>
  <c r="U18" i="4"/>
  <c r="U13" i="4"/>
  <c r="U24" i="4"/>
  <c r="AD17" i="4"/>
  <c r="C9" i="2"/>
  <c r="C24" i="2"/>
  <c r="C26" i="2"/>
  <c r="C23" i="2"/>
  <c r="R29" i="1"/>
  <c r="H10" i="2" l="1"/>
  <c r="K20" i="2"/>
  <c r="H21" i="2"/>
  <c r="F19" i="2"/>
  <c r="H19" i="2" s="1"/>
  <c r="F20" i="2"/>
  <c r="H20" i="2" s="1"/>
  <c r="K19" i="2"/>
  <c r="K10" i="2"/>
  <c r="L10" i="2" s="1"/>
  <c r="P10" i="2" s="1"/>
  <c r="Q10" i="2" s="1"/>
  <c r="K9" i="2"/>
  <c r="L20" i="2"/>
  <c r="P20" i="2" s="1"/>
  <c r="Q20" i="2" s="1"/>
  <c r="F41" i="2" s="1"/>
  <c r="L15" i="2"/>
  <c r="P15" i="2" s="1"/>
  <c r="K14" i="2"/>
  <c r="K12" i="2"/>
  <c r="K18" i="2"/>
  <c r="H13" i="2"/>
  <c r="L13" i="2" s="1"/>
  <c r="P13" i="2" s="1"/>
  <c r="Q13" i="2" s="1"/>
  <c r="F34" i="2" s="1"/>
  <c r="H18" i="2"/>
  <c r="L18" i="2" s="1"/>
  <c r="P18" i="2" s="1"/>
  <c r="Q18" i="2" s="1"/>
  <c r="F39" i="2" s="1"/>
  <c r="H11" i="2"/>
  <c r="K21" i="2"/>
  <c r="L21" i="2" s="1"/>
  <c r="P21" i="2" s="1"/>
  <c r="Q21" i="2" s="1"/>
  <c r="H12" i="2"/>
  <c r="L12" i="2" s="1"/>
  <c r="P12" i="2" s="1"/>
  <c r="Q12" i="2" s="1"/>
  <c r="F33" i="2" s="1"/>
  <c r="L19" i="2"/>
  <c r="P19" i="2" s="1"/>
  <c r="Q19" i="2" s="1"/>
  <c r="F40" i="2" s="1"/>
  <c r="K17" i="2"/>
  <c r="K11" i="2"/>
  <c r="L11" i="2" s="1"/>
  <c r="P11" i="2" s="1"/>
  <c r="Q11" i="2" s="1"/>
  <c r="F32" i="2" s="1"/>
  <c r="T21" i="2"/>
  <c r="Q15" i="2"/>
  <c r="F36" i="2" s="1"/>
  <c r="F17" i="2"/>
  <c r="H17" i="2" s="1"/>
  <c r="T10" i="2"/>
  <c r="F9" i="2"/>
  <c r="H9" i="2" s="1"/>
  <c r="W27" i="2"/>
  <c r="C48" i="2"/>
  <c r="F16" i="2"/>
  <c r="H16" i="2" s="1"/>
  <c r="L16" i="2" s="1"/>
  <c r="P16" i="2" s="1"/>
  <c r="Q16" i="2" s="1"/>
  <c r="T12" i="2"/>
  <c r="W23" i="2"/>
  <c r="C44" i="2"/>
  <c r="F14" i="2"/>
  <c r="H14" i="2" s="1"/>
  <c r="T18" i="2"/>
  <c r="W25" i="2"/>
  <c r="C46" i="2"/>
  <c r="W26" i="2"/>
  <c r="C47" i="2"/>
  <c r="W24" i="2"/>
  <c r="C45" i="2"/>
  <c r="W9" i="2"/>
  <c r="C30" i="2"/>
  <c r="AD18" i="4"/>
  <c r="Q29" i="1"/>
  <c r="L14" i="2" l="1"/>
  <c r="P14" i="2" s="1"/>
  <c r="Q14" i="2" s="1"/>
  <c r="F35" i="2" s="1"/>
  <c r="L17" i="2"/>
  <c r="P17" i="2" s="1"/>
  <c r="Q17" i="2" s="1"/>
  <c r="F38" i="2" s="1"/>
  <c r="L9" i="2"/>
  <c r="P9" i="2" s="1"/>
  <c r="Q9" i="2" s="1"/>
  <c r="F37" i="2"/>
  <c r="F30" i="2"/>
  <c r="F42" i="2"/>
  <c r="F31" i="2"/>
  <c r="AD19" i="4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9" i="1"/>
  <c r="S9" i="1"/>
  <c r="K3" i="1"/>
  <c r="J3" i="1"/>
  <c r="U14" i="1" l="1"/>
  <c r="V14" i="1" s="1"/>
  <c r="K18" i="4"/>
  <c r="U15" i="1"/>
  <c r="V15" i="1" s="1"/>
  <c r="K19" i="4"/>
  <c r="U10" i="1"/>
  <c r="V10" i="1" s="1"/>
  <c r="K14" i="4"/>
  <c r="U18" i="1"/>
  <c r="V18" i="1" s="1"/>
  <c r="K22" i="4"/>
  <c r="U12" i="1"/>
  <c r="V12" i="1" s="1"/>
  <c r="K16" i="4"/>
  <c r="U20" i="1"/>
  <c r="V20" i="1" s="1"/>
  <c r="K24" i="4"/>
  <c r="U16" i="1"/>
  <c r="V16" i="1" s="1"/>
  <c r="K20" i="4"/>
  <c r="U13" i="1"/>
  <c r="V13" i="1" s="1"/>
  <c r="K17" i="4"/>
  <c r="U9" i="1"/>
  <c r="V9" i="1" s="1"/>
  <c r="K13" i="4"/>
  <c r="U21" i="1"/>
  <c r="V21" i="1" s="1"/>
  <c r="K25" i="4"/>
  <c r="U19" i="1"/>
  <c r="V19" i="1" s="1"/>
  <c r="K23" i="4"/>
  <c r="U17" i="1"/>
  <c r="V17" i="1" s="1"/>
  <c r="K21" i="4"/>
  <c r="U11" i="1"/>
  <c r="V11" i="1" s="1"/>
  <c r="K15" i="4"/>
  <c r="X15" i="4" s="1"/>
  <c r="R11" i="2" s="1"/>
  <c r="S11" i="2" s="1"/>
  <c r="U11" i="2" s="1"/>
  <c r="AD20" i="4"/>
  <c r="T29" i="1"/>
  <c r="S29" i="1"/>
  <c r="X23" i="4" l="1"/>
  <c r="R19" i="2" s="1"/>
  <c r="S19" i="2" s="1"/>
  <c r="U19" i="2" s="1"/>
  <c r="L23" i="4"/>
  <c r="W23" i="4" s="1"/>
  <c r="L25" i="4"/>
  <c r="W25" i="4" s="1"/>
  <c r="X25" i="4"/>
  <c r="R21" i="2" s="1"/>
  <c r="S21" i="2" s="1"/>
  <c r="U21" i="2" s="1"/>
  <c r="L24" i="4"/>
  <c r="X24" i="4"/>
  <c r="R20" i="2" s="1"/>
  <c r="S20" i="2" s="1"/>
  <c r="U20" i="2" s="1"/>
  <c r="X13" i="4"/>
  <c r="R9" i="2" s="1"/>
  <c r="S9" i="2" s="1"/>
  <c r="U9" i="2" s="1"/>
  <c r="L13" i="4"/>
  <c r="W13" i="4" s="1"/>
  <c r="L17" i="4"/>
  <c r="W17" i="4" s="1"/>
  <c r="X17" i="4"/>
  <c r="R13" i="2" s="1"/>
  <c r="S13" i="2" s="1"/>
  <c r="U13" i="2" s="1"/>
  <c r="L22" i="4"/>
  <c r="W22" i="4" s="1"/>
  <c r="X22" i="4"/>
  <c r="R18" i="2" s="1"/>
  <c r="S18" i="2" s="1"/>
  <c r="U18" i="2" s="1"/>
  <c r="L20" i="4"/>
  <c r="W20" i="4" s="1"/>
  <c r="X20" i="4"/>
  <c r="R16" i="2" s="1"/>
  <c r="S16" i="2" s="1"/>
  <c r="U16" i="2" s="1"/>
  <c r="L16" i="4"/>
  <c r="M16" i="4" s="1"/>
  <c r="N16" i="4" s="1"/>
  <c r="Q16" i="4" s="1"/>
  <c r="X16" i="4"/>
  <c r="R12" i="2" s="1"/>
  <c r="S12" i="2" s="1"/>
  <c r="U12" i="2" s="1"/>
  <c r="X19" i="4"/>
  <c r="R15" i="2" s="1"/>
  <c r="S15" i="2" s="1"/>
  <c r="U15" i="2" s="1"/>
  <c r="L19" i="4"/>
  <c r="W19" i="4" s="1"/>
  <c r="L18" i="4"/>
  <c r="W18" i="4" s="1"/>
  <c r="X18" i="4"/>
  <c r="R14" i="2" s="1"/>
  <c r="S14" i="2" s="1"/>
  <c r="U14" i="2" s="1"/>
  <c r="X14" i="4"/>
  <c r="R10" i="2" s="1"/>
  <c r="S10" i="2" s="1"/>
  <c r="U10" i="2" s="1"/>
  <c r="L14" i="4"/>
  <c r="M14" i="4" s="1"/>
  <c r="N14" i="4" s="1"/>
  <c r="Q14" i="4" s="1"/>
  <c r="L21" i="4"/>
  <c r="W21" i="4" s="1"/>
  <c r="D38" i="2" s="1"/>
  <c r="X21" i="4"/>
  <c r="R17" i="2" s="1"/>
  <c r="S17" i="2" s="1"/>
  <c r="U17" i="2" s="1"/>
  <c r="L15" i="4"/>
  <c r="W15" i="4" s="1"/>
  <c r="C10" i="2"/>
  <c r="AD21" i="4"/>
  <c r="V29" i="1"/>
  <c r="U29" i="1"/>
  <c r="W24" i="4" l="1"/>
  <c r="Z24" i="4" s="1"/>
  <c r="D42" i="2"/>
  <c r="Z25" i="4"/>
  <c r="Z22" i="4"/>
  <c r="D39" i="2"/>
  <c r="U14" i="4"/>
  <c r="W14" i="4" s="1"/>
  <c r="D31" i="2" s="1"/>
  <c r="U16" i="4"/>
  <c r="W16" i="4" s="1"/>
  <c r="D33" i="2" s="1"/>
  <c r="D37" i="2"/>
  <c r="Z20" i="4"/>
  <c r="D34" i="2"/>
  <c r="Z17" i="4"/>
  <c r="Z13" i="4"/>
  <c r="D30" i="2"/>
  <c r="Z19" i="4"/>
  <c r="D36" i="2"/>
  <c r="D40" i="2"/>
  <c r="Z23" i="4"/>
  <c r="Z18" i="4"/>
  <c r="D35" i="2"/>
  <c r="D32" i="2"/>
  <c r="Z15" i="4"/>
  <c r="W10" i="2"/>
  <c r="C31" i="2"/>
  <c r="Z21" i="4"/>
  <c r="C11" i="2"/>
  <c r="AD22" i="4"/>
  <c r="Z16" i="4" l="1"/>
  <c r="D41" i="2"/>
  <c r="Z14" i="4"/>
  <c r="W11" i="2"/>
  <c r="C32" i="2"/>
  <c r="V10" i="2"/>
  <c r="C12" i="2"/>
  <c r="AD23" i="4"/>
  <c r="W12" i="2" l="1"/>
  <c r="C33" i="2"/>
  <c r="E31" i="2"/>
  <c r="E30" i="2"/>
  <c r="G30" i="2" s="1"/>
  <c r="H30" i="2" s="1"/>
  <c r="AD30" i="2" s="1"/>
  <c r="V9" i="2"/>
  <c r="C13" i="2"/>
  <c r="AD24" i="4"/>
  <c r="W13" i="2" l="1"/>
  <c r="C34" i="2"/>
  <c r="G31" i="2"/>
  <c r="H31" i="2" s="1"/>
  <c r="AD31" i="2" s="1"/>
  <c r="N31" i="2" s="1"/>
  <c r="E32" i="2"/>
  <c r="G32" i="2" s="1"/>
  <c r="H32" i="2" s="1"/>
  <c r="AD32" i="2" s="1"/>
  <c r="N32" i="2" s="1"/>
  <c r="C14" i="2"/>
  <c r="AD25" i="4"/>
  <c r="W14" i="2" l="1"/>
  <c r="C35" i="2"/>
  <c r="V11" i="2"/>
  <c r="C15" i="2"/>
  <c r="E33" i="2"/>
  <c r="G33" i="2" s="1"/>
  <c r="H33" i="2" s="1"/>
  <c r="AD33" i="2" s="1"/>
  <c r="N33" i="2" s="1"/>
  <c r="S33" i="4"/>
  <c r="S34" i="4" s="1"/>
  <c r="J33" i="4"/>
  <c r="E34" i="2"/>
  <c r="G34" i="2" s="1"/>
  <c r="H34" i="2" s="1"/>
  <c r="AD34" i="2" s="1"/>
  <c r="N34" i="2" s="1"/>
  <c r="V13" i="2"/>
  <c r="W15" i="2" l="1"/>
  <c r="C36" i="2"/>
  <c r="V12" i="2"/>
  <c r="C16" i="2"/>
  <c r="N33" i="4"/>
  <c r="W16" i="2" l="1"/>
  <c r="C37" i="2"/>
  <c r="C17" i="2"/>
  <c r="Q33" i="4"/>
  <c r="E35" i="2"/>
  <c r="G35" i="2" s="1"/>
  <c r="H35" i="2" s="1"/>
  <c r="AD35" i="2" s="1"/>
  <c r="N35" i="2" s="1"/>
  <c r="V14" i="2"/>
  <c r="W17" i="2" l="1"/>
  <c r="C38" i="2"/>
  <c r="C18" i="2"/>
  <c r="E36" i="2"/>
  <c r="G36" i="2" s="1"/>
  <c r="H36" i="2" s="1"/>
  <c r="AD36" i="2" s="1"/>
  <c r="N36" i="2" s="1"/>
  <c r="V15" i="2"/>
  <c r="W18" i="2" l="1"/>
  <c r="C39" i="2"/>
  <c r="C19" i="2"/>
  <c r="E37" i="2"/>
  <c r="G37" i="2" s="1"/>
  <c r="H37" i="2" s="1"/>
  <c r="AD37" i="2" s="1"/>
  <c r="N37" i="2" s="1"/>
  <c r="V16" i="2"/>
  <c r="W19" i="2" l="1"/>
  <c r="C40" i="2"/>
  <c r="C20" i="2"/>
  <c r="V17" i="2"/>
  <c r="E38" i="2"/>
  <c r="G38" i="2" s="1"/>
  <c r="H38" i="2" s="1"/>
  <c r="AD38" i="2" s="1"/>
  <c r="N38" i="2" s="1"/>
  <c r="W20" i="2" l="1"/>
  <c r="C41" i="2"/>
  <c r="C22" i="2"/>
  <c r="C21" i="2"/>
  <c r="E39" i="2"/>
  <c r="G39" i="2" s="1"/>
  <c r="H39" i="2" s="1"/>
  <c r="AD39" i="2" s="1"/>
  <c r="N39" i="2" s="1"/>
  <c r="V18" i="2"/>
  <c r="W21" i="2" l="1"/>
  <c r="C42" i="2"/>
  <c r="W22" i="2"/>
  <c r="C43" i="2"/>
  <c r="V19" i="2"/>
  <c r="E40" i="2" l="1"/>
  <c r="G40" i="2" l="1"/>
  <c r="H40" i="2" s="1"/>
  <c r="AD40" i="2" s="1"/>
  <c r="N40" i="2" s="1"/>
  <c r="E42" i="2"/>
  <c r="G42" i="2" s="1"/>
  <c r="H42" i="2" s="1"/>
  <c r="AD42" i="2" s="1"/>
  <c r="N42" i="2" s="1"/>
  <c r="E41" i="2"/>
  <c r="V20" i="2"/>
  <c r="G41" i="2" l="1"/>
  <c r="H41" i="2" s="1"/>
  <c r="AD41" i="2" s="1"/>
  <c r="N41" i="2" s="1"/>
  <c r="V21" i="2"/>
</calcChain>
</file>

<file path=xl/sharedStrings.xml><?xml version="1.0" encoding="utf-8"?>
<sst xmlns="http://schemas.openxmlformats.org/spreadsheetml/2006/main" count="263" uniqueCount="163">
  <si>
    <t>m/sn</t>
  </si>
  <si>
    <t>YASS</t>
  </si>
  <si>
    <t>Zemin Cinsi</t>
  </si>
  <si>
    <t>NUMUNE NO</t>
  </si>
  <si>
    <t>Derinlik (m)</t>
  </si>
  <si>
    <r>
      <t>N</t>
    </r>
    <r>
      <rPr>
        <b/>
        <vertAlign val="subscript"/>
        <sz val="12"/>
        <rFont val="Arial Narrow"/>
        <family val="2"/>
        <charset val="162"/>
      </rPr>
      <t xml:space="preserve">1          </t>
    </r>
    <r>
      <rPr>
        <b/>
        <sz val="12"/>
        <rFont val="Arial Narrow"/>
        <family val="2"/>
        <charset val="162"/>
      </rPr>
      <t xml:space="preserve"> (0-15)</t>
    </r>
  </si>
  <si>
    <r>
      <t>N</t>
    </r>
    <r>
      <rPr>
        <b/>
        <vertAlign val="subscript"/>
        <sz val="12"/>
        <rFont val="Arial Narrow"/>
        <family val="2"/>
        <charset val="162"/>
      </rPr>
      <t xml:space="preserve">2          </t>
    </r>
    <r>
      <rPr>
        <b/>
        <sz val="12"/>
        <rFont val="Arial Narrow"/>
        <family val="2"/>
        <charset val="162"/>
      </rPr>
      <t xml:space="preserve"> (15-30)</t>
    </r>
  </si>
  <si>
    <r>
      <t>N</t>
    </r>
    <r>
      <rPr>
        <b/>
        <vertAlign val="subscript"/>
        <sz val="12"/>
        <rFont val="Arial Narrow"/>
        <family val="2"/>
        <charset val="162"/>
      </rPr>
      <t xml:space="preserve">3          </t>
    </r>
    <r>
      <rPr>
        <b/>
        <sz val="12"/>
        <rFont val="Arial Narrow"/>
        <family val="2"/>
        <charset val="162"/>
      </rPr>
      <t xml:space="preserve"> (30-45)</t>
    </r>
  </si>
  <si>
    <r>
      <t>N</t>
    </r>
    <r>
      <rPr>
        <b/>
        <vertAlign val="subscript"/>
        <sz val="18"/>
        <rFont val="Arial Narrow"/>
        <family val="2"/>
        <charset val="162"/>
      </rPr>
      <t>30</t>
    </r>
  </si>
  <si>
    <t>CIL</t>
  </si>
  <si>
    <t>Zemin AÇIKLAMASI</t>
  </si>
  <si>
    <t>GrP</t>
  </si>
  <si>
    <t>SaW</t>
  </si>
  <si>
    <t>SaM</t>
  </si>
  <si>
    <t>SaP</t>
  </si>
  <si>
    <t>siSa</t>
  </si>
  <si>
    <t>SiL</t>
  </si>
  <si>
    <t>SiH</t>
  </si>
  <si>
    <t>Dolgu</t>
  </si>
  <si>
    <t>GrM</t>
  </si>
  <si>
    <t>GrW</t>
  </si>
  <si>
    <t xml:space="preserve">İyi Granüllü Çakıl </t>
  </si>
  <si>
    <t>Siltli Çakıl</t>
  </si>
  <si>
    <t>Kötü Granüllü Çakıl</t>
  </si>
  <si>
    <t>İyi Granüllü Kum</t>
  </si>
  <si>
    <t>Siltli Kum</t>
  </si>
  <si>
    <t>Kötü Granüllü Kum</t>
  </si>
  <si>
    <t>Siltli Kumlu Zemin</t>
  </si>
  <si>
    <t>Killi Kumlu Zemin</t>
  </si>
  <si>
    <t>Düşük Plastisiteli Kil</t>
  </si>
  <si>
    <t>Yüksek Plastisiteli Kil</t>
  </si>
  <si>
    <t xml:space="preserve">Düşük Plastisiteli Silt  </t>
  </si>
  <si>
    <t xml:space="preserve">Yüksek Plastisiteli Silt  </t>
  </si>
  <si>
    <t xml:space="preserve">Dolgu </t>
  </si>
  <si>
    <t>YASS (m)</t>
  </si>
  <si>
    <t>İLK DENEY DERİNLİĞİ</t>
  </si>
  <si>
    <t>DERİNLİK (m)</t>
  </si>
  <si>
    <t>WN (Doğal su içeriği)</t>
  </si>
  <si>
    <t>IDI % (#200'den geçen )</t>
  </si>
  <si>
    <t xml:space="preserve"> (#10'da kalan )</t>
  </si>
  <si>
    <t>Sds=</t>
  </si>
  <si>
    <r>
      <t>JEOFİZİKTEN VS</t>
    </r>
    <r>
      <rPr>
        <vertAlign val="subscript"/>
        <sz val="11"/>
        <color theme="1"/>
        <rFont val="Arial Narrow"/>
        <family val="2"/>
        <charset val="162"/>
      </rPr>
      <t>30</t>
    </r>
    <r>
      <rPr>
        <sz val="11"/>
        <color theme="1"/>
        <rFont val="Arial Narrow"/>
        <family val="2"/>
        <charset val="162"/>
      </rPr>
      <t xml:space="preserve"> =</t>
    </r>
  </si>
  <si>
    <t>Mw=</t>
  </si>
  <si>
    <r>
      <t>C</t>
    </r>
    <r>
      <rPr>
        <vertAlign val="subscript"/>
        <sz val="11"/>
        <color theme="1"/>
        <rFont val="Arial Narrow"/>
        <family val="2"/>
        <charset val="162"/>
      </rPr>
      <t xml:space="preserve">E </t>
    </r>
    <r>
      <rPr>
        <sz val="11"/>
        <color theme="1"/>
        <rFont val="Arial Narrow"/>
        <family val="2"/>
        <charset val="162"/>
      </rPr>
      <t>=</t>
    </r>
  </si>
  <si>
    <r>
      <t>C</t>
    </r>
    <r>
      <rPr>
        <vertAlign val="subscript"/>
        <sz val="11"/>
        <color theme="1"/>
        <rFont val="Arial Narrow"/>
        <family val="2"/>
        <charset val="162"/>
      </rPr>
      <t xml:space="preserve">S </t>
    </r>
    <r>
      <rPr>
        <sz val="11"/>
        <color theme="1"/>
        <rFont val="Arial Narrow"/>
        <family val="2"/>
        <charset val="162"/>
      </rPr>
      <t>=</t>
    </r>
  </si>
  <si>
    <r>
      <t>C</t>
    </r>
    <r>
      <rPr>
        <vertAlign val="subscript"/>
        <sz val="11"/>
        <color theme="1"/>
        <rFont val="Arial Narrow"/>
        <family val="2"/>
        <charset val="162"/>
      </rPr>
      <t xml:space="preserve">B </t>
    </r>
    <r>
      <rPr>
        <sz val="11"/>
        <color theme="1"/>
        <rFont val="Arial Narrow"/>
        <family val="2"/>
        <charset val="162"/>
      </rPr>
      <t>=</t>
    </r>
  </si>
  <si>
    <t>CN = killi zeminlerde 1 alınmıştır.</t>
  </si>
  <si>
    <t>α</t>
  </si>
  <si>
    <t>β</t>
  </si>
  <si>
    <t>GS</t>
  </si>
  <si>
    <t>CN = YASS üstü 1 alınmıştır.</t>
  </si>
  <si>
    <t>SONUÇ</t>
  </si>
  <si>
    <t>AÇIKLAMA</t>
  </si>
  <si>
    <t>LL           ( Likit limit )</t>
  </si>
  <si>
    <t>PL           ( Plastik limit )</t>
  </si>
  <si>
    <t>PI  %</t>
  </si>
  <si>
    <t>ORT=</t>
  </si>
  <si>
    <t>TOPLAM</t>
  </si>
  <si>
    <t>Y.A.S.S. ÜSTÜ</t>
  </si>
  <si>
    <t>KOLON ARALIĞI</t>
  </si>
  <si>
    <t>SV(DÜŞEY)(m)</t>
  </si>
  <si>
    <t>SH(YATAY)(m)</t>
  </si>
  <si>
    <t>KOLON ÇAPI</t>
  </si>
  <si>
    <t>KOLON ALANI</t>
  </si>
  <si>
    <t>m</t>
  </si>
  <si>
    <t>JET BETON</t>
  </si>
  <si>
    <t>mPa</t>
  </si>
  <si>
    <t>Y.A.S.S (m)</t>
  </si>
  <si>
    <t>POİSSON</t>
  </si>
  <si>
    <t>KESME KONTROL</t>
  </si>
  <si>
    <t>İYİLEŞTİRME ÖNCESİ SIVILAŞMA POTANSİYELİ</t>
  </si>
  <si>
    <t>İYİLEŞTİRME SONRASI SIVILAŞMA POTANSİYELİ</t>
  </si>
  <si>
    <t>MUTLAK</t>
  </si>
  <si>
    <t>GS &gt; 1,1</t>
  </si>
  <si>
    <t>Dakshanamurthy ve Raman (1973)</t>
  </si>
  <si>
    <t>CIM</t>
  </si>
  <si>
    <t>Orta Plastisiteli Kil</t>
  </si>
  <si>
    <t>ciSa</t>
  </si>
  <si>
    <r>
      <rPr>
        <b/>
        <sz val="20"/>
        <rFont val="Arial Narrow"/>
        <family val="2"/>
        <charset val="162"/>
      </rPr>
      <t xml:space="preserve">γ </t>
    </r>
    <r>
      <rPr>
        <b/>
        <vertAlign val="subscript"/>
        <sz val="12"/>
        <rFont val="Arial Narrow"/>
        <family val="2"/>
        <charset val="162"/>
      </rPr>
      <t>t/m3</t>
    </r>
    <r>
      <rPr>
        <b/>
        <sz val="12"/>
        <rFont val="Arial Narrow"/>
        <family val="2"/>
        <charset val="162"/>
      </rPr>
      <t xml:space="preserve"> </t>
    </r>
    <r>
      <rPr>
        <b/>
        <sz val="10"/>
        <rFont val="Arial Narrow"/>
        <family val="2"/>
        <charset val="162"/>
      </rPr>
      <t>(Doğal Birim Hacim Ağırlık )</t>
    </r>
  </si>
  <si>
    <r>
      <rPr>
        <b/>
        <sz val="20"/>
        <rFont val="Arial Narrow"/>
        <family val="2"/>
        <charset val="162"/>
      </rPr>
      <t xml:space="preserve">LL </t>
    </r>
    <r>
      <rPr>
        <b/>
        <sz val="12"/>
        <rFont val="Arial Narrow"/>
        <family val="2"/>
        <charset val="162"/>
      </rPr>
      <t xml:space="preserve">          ( Likit limit )</t>
    </r>
  </si>
  <si>
    <r>
      <rPr>
        <b/>
        <sz val="20"/>
        <rFont val="Arial Narrow"/>
        <family val="2"/>
        <charset val="162"/>
      </rPr>
      <t xml:space="preserve">PL </t>
    </r>
    <r>
      <rPr>
        <b/>
        <sz val="12"/>
        <rFont val="Arial Narrow"/>
        <family val="2"/>
        <charset val="162"/>
      </rPr>
      <t xml:space="preserve">          ( Plastik limit )</t>
    </r>
  </si>
  <si>
    <r>
      <rPr>
        <b/>
        <sz val="20"/>
        <rFont val="Arial Narrow"/>
        <family val="2"/>
        <charset val="162"/>
      </rPr>
      <t>IDI %</t>
    </r>
    <r>
      <rPr>
        <b/>
        <sz val="12"/>
        <rFont val="Arial Narrow"/>
        <family val="2"/>
        <charset val="162"/>
      </rPr>
      <t xml:space="preserve"> (#200'den geçen )</t>
    </r>
  </si>
  <si>
    <r>
      <rPr>
        <b/>
        <sz val="20"/>
        <rFont val="Arial Narrow"/>
        <family val="2"/>
        <charset val="162"/>
      </rPr>
      <t>W</t>
    </r>
    <r>
      <rPr>
        <b/>
        <vertAlign val="subscript"/>
        <sz val="20"/>
        <rFont val="Arial Narrow"/>
        <family val="2"/>
        <charset val="162"/>
      </rPr>
      <t>N</t>
    </r>
    <r>
      <rPr>
        <b/>
        <sz val="12"/>
        <rFont val="Arial Narrow"/>
        <family val="2"/>
        <charset val="162"/>
      </rPr>
      <t xml:space="preserve"> (Doğal su içeriği)</t>
    </r>
  </si>
  <si>
    <t>-</t>
  </si>
  <si>
    <t>CIH</t>
  </si>
  <si>
    <t>N1(60)f &gt;34 OLAN ZEMİNLERDE GS=2 OLARAK SIVILAŞMAZ KABUL EDİLİR.</t>
  </si>
  <si>
    <t>Kriter / Yöntem</t>
  </si>
  <si>
    <t>wn​/LL Şartı</t>
  </si>
  <si>
    <t>Diğer Koşullar</t>
  </si>
  <si>
    <t>Sonuç</t>
  </si>
  <si>
    <t>Çin Kriteri (Wang, 1979)</t>
  </si>
  <si>
    <t>WN​/LL &gt;=0,9</t>
  </si>
  <si>
    <t>Seed et al. (2003)</t>
  </si>
  <si>
    <t>WN​/LL &gt;=0,85</t>
  </si>
  <si>
    <t>Boulanger &amp; Idriss (2006)</t>
  </si>
  <si>
    <t>WN​/LL &gt;=0,80-0,85</t>
  </si>
  <si>
    <t>PI &lt; 12, LL &lt; 37</t>
  </si>
  <si>
    <t>Sıvılaşmaya Hassas Zone A</t>
  </si>
  <si>
    <t>PI &lt; 7 (Kumlu davranış)</t>
  </si>
  <si>
    <t>Sıvılaşabilir (Kumlara benzer tetiklenme)</t>
  </si>
  <si>
    <t>Sıvılaşabilir</t>
  </si>
  <si>
    <t>SIVILAŞMA ANALİZİ</t>
  </si>
  <si>
    <r>
      <t>m</t>
    </r>
    <r>
      <rPr>
        <vertAlign val="superscript"/>
        <sz val="11"/>
        <color theme="1"/>
        <rFont val="Swis721 LtCn BT"/>
        <family val="2"/>
      </rPr>
      <t>2</t>
    </r>
  </si>
  <si>
    <r>
      <t>F</t>
    </r>
    <r>
      <rPr>
        <b/>
        <vertAlign val="subscript"/>
        <sz val="16"/>
        <rFont val="Swis721 LtCn BT"/>
        <family val="2"/>
      </rPr>
      <t>JG</t>
    </r>
  </si>
  <si>
    <r>
      <t>E</t>
    </r>
    <r>
      <rPr>
        <b/>
        <vertAlign val="subscript"/>
        <sz val="16"/>
        <rFont val="Swis721 LtCn BT"/>
        <family val="2"/>
      </rPr>
      <t>JG</t>
    </r>
  </si>
  <si>
    <r>
      <t>G</t>
    </r>
    <r>
      <rPr>
        <b/>
        <vertAlign val="subscript"/>
        <sz val="16"/>
        <rFont val="Swis721 LtCn BT"/>
        <family val="2"/>
      </rPr>
      <t>JG</t>
    </r>
  </si>
  <si>
    <r>
      <t>V</t>
    </r>
    <r>
      <rPr>
        <b/>
        <vertAlign val="subscript"/>
        <sz val="16"/>
        <rFont val="Swis721 LtCn BT"/>
        <family val="2"/>
      </rPr>
      <t>S</t>
    </r>
  </si>
  <si>
    <r>
      <rPr>
        <b/>
        <sz val="14"/>
        <rFont val="Swis721 LtCn BT"/>
        <family val="2"/>
      </rPr>
      <t>γ</t>
    </r>
    <r>
      <rPr>
        <b/>
        <sz val="12"/>
        <rFont val="Swis721 LtCn BT"/>
        <family val="2"/>
      </rPr>
      <t xml:space="preserve"> </t>
    </r>
    <r>
      <rPr>
        <b/>
        <vertAlign val="subscript"/>
        <sz val="12"/>
        <rFont val="Swis721 LtCn BT"/>
        <family val="2"/>
      </rPr>
      <t>t/m3</t>
    </r>
    <r>
      <rPr>
        <b/>
        <sz val="12"/>
        <rFont val="Swis721 LtCn BT"/>
        <family val="2"/>
      </rPr>
      <t xml:space="preserve"> </t>
    </r>
    <r>
      <rPr>
        <b/>
        <sz val="10"/>
        <rFont val="Swis721 LtCn BT"/>
        <family val="2"/>
      </rPr>
      <t>(Doğal Birim Hacim Ağırlık )</t>
    </r>
  </si>
  <si>
    <r>
      <t>G</t>
    </r>
    <r>
      <rPr>
        <b/>
        <vertAlign val="subscript"/>
        <sz val="16"/>
        <rFont val="Swis721 LtCn BT"/>
        <family val="2"/>
      </rPr>
      <t>S</t>
    </r>
  </si>
  <si>
    <r>
      <t>G</t>
    </r>
    <r>
      <rPr>
        <b/>
        <vertAlign val="subscript"/>
        <sz val="16"/>
        <rFont val="Swis721 LtCn BT"/>
        <family val="2"/>
      </rPr>
      <t>R</t>
    </r>
  </si>
  <si>
    <r>
      <t xml:space="preserve">BİRİM ALAN </t>
    </r>
    <r>
      <rPr>
        <b/>
        <sz val="12"/>
        <rFont val="Swis721 LtCn BT"/>
        <family val="2"/>
      </rPr>
      <t>(S</t>
    </r>
    <r>
      <rPr>
        <b/>
        <vertAlign val="subscript"/>
        <sz val="12"/>
        <rFont val="Swis721 LtCn BT"/>
        <family val="2"/>
      </rPr>
      <t xml:space="preserve">V </t>
    </r>
    <r>
      <rPr>
        <b/>
        <sz val="12"/>
        <rFont val="Swis721 LtCn BT"/>
        <family val="2"/>
      </rPr>
      <t>x S</t>
    </r>
    <r>
      <rPr>
        <b/>
        <vertAlign val="subscript"/>
        <sz val="12"/>
        <rFont val="Swis721 LtCn BT"/>
        <family val="2"/>
      </rPr>
      <t>H</t>
    </r>
    <r>
      <rPr>
        <b/>
        <sz val="12"/>
        <rFont val="Swis721 LtCn BT"/>
        <family val="2"/>
      </rPr>
      <t>)</t>
    </r>
  </si>
  <si>
    <r>
      <t>a</t>
    </r>
    <r>
      <rPr>
        <b/>
        <vertAlign val="subscript"/>
        <sz val="16"/>
        <rFont val="Swis721 LtCn BT"/>
        <family val="2"/>
      </rPr>
      <t>R</t>
    </r>
  </si>
  <si>
    <r>
      <t>1-a</t>
    </r>
    <r>
      <rPr>
        <b/>
        <vertAlign val="subscript"/>
        <sz val="16"/>
        <rFont val="Swis721 LtCn BT"/>
        <family val="2"/>
      </rPr>
      <t>R</t>
    </r>
  </si>
  <si>
    <r>
      <t>1/G</t>
    </r>
    <r>
      <rPr>
        <b/>
        <vertAlign val="subscript"/>
        <sz val="16"/>
        <rFont val="Swis721 LtCn BT"/>
        <family val="2"/>
      </rPr>
      <t>R</t>
    </r>
  </si>
  <si>
    <r>
      <t>S</t>
    </r>
    <r>
      <rPr>
        <b/>
        <vertAlign val="subscript"/>
        <sz val="16"/>
        <rFont val="Swis721 LtCn BT"/>
        <family val="2"/>
      </rPr>
      <t>R</t>
    </r>
  </si>
  <si>
    <r>
      <t xml:space="preserve">τ </t>
    </r>
    <r>
      <rPr>
        <b/>
        <vertAlign val="subscript"/>
        <sz val="11"/>
        <rFont val="Swis721 LtCn BT"/>
        <family val="2"/>
      </rPr>
      <t>Deprem</t>
    </r>
  </si>
  <si>
    <r>
      <t>V</t>
    </r>
    <r>
      <rPr>
        <b/>
        <vertAlign val="subscript"/>
        <sz val="16"/>
        <rFont val="Swis721 LtCn BT"/>
        <family val="2"/>
      </rPr>
      <t>İ</t>
    </r>
  </si>
  <si>
    <r>
      <t>V</t>
    </r>
    <r>
      <rPr>
        <b/>
        <vertAlign val="subscript"/>
        <sz val="16"/>
        <rFont val="Swis721 LtCn BT"/>
        <family val="2"/>
      </rPr>
      <t>İJ</t>
    </r>
  </si>
  <si>
    <r>
      <t>τ</t>
    </r>
    <r>
      <rPr>
        <b/>
        <vertAlign val="subscript"/>
        <sz val="16"/>
        <rFont val="Swis721 LtCn BT"/>
        <family val="2"/>
      </rPr>
      <t>R</t>
    </r>
  </si>
  <si>
    <r>
      <t>τ</t>
    </r>
    <r>
      <rPr>
        <b/>
        <vertAlign val="subscript"/>
        <sz val="11"/>
        <rFont val="Swis721 LtCn BT"/>
        <family val="2"/>
      </rPr>
      <t>Deprem</t>
    </r>
  </si>
  <si>
    <r>
      <rPr>
        <b/>
        <sz val="24"/>
        <rFont val="Swis721 LtCn BT"/>
        <family val="2"/>
      </rPr>
      <t xml:space="preserve">τ </t>
    </r>
    <r>
      <rPr>
        <b/>
        <vertAlign val="subscript"/>
        <sz val="12"/>
        <rFont val="Swis721 LtCn BT"/>
        <family val="2"/>
      </rPr>
      <t xml:space="preserve">Deprem </t>
    </r>
    <r>
      <rPr>
        <b/>
        <sz val="12"/>
        <rFont val="Swis721 LtCn BT"/>
        <family val="2"/>
      </rPr>
      <t>x S</t>
    </r>
    <r>
      <rPr>
        <b/>
        <vertAlign val="subscript"/>
        <sz val="12"/>
        <rFont val="Swis721 LtCn BT"/>
        <family val="2"/>
      </rPr>
      <t>R</t>
    </r>
  </si>
  <si>
    <r>
      <rPr>
        <b/>
        <sz val="24"/>
        <rFont val="Swis721 LtCn BT"/>
        <family val="2"/>
      </rPr>
      <t>τ</t>
    </r>
    <r>
      <rPr>
        <b/>
        <vertAlign val="subscript"/>
        <sz val="16"/>
        <rFont val="Swis721 LtCn BT"/>
        <family val="2"/>
      </rPr>
      <t>R</t>
    </r>
    <r>
      <rPr>
        <b/>
        <sz val="16"/>
        <rFont val="Swis721 LtCn BT"/>
        <family val="2"/>
      </rPr>
      <t xml:space="preserve"> / </t>
    </r>
    <r>
      <rPr>
        <b/>
        <sz val="22"/>
        <rFont val="Swis721 LtCn BT"/>
        <family val="2"/>
      </rPr>
      <t>τ</t>
    </r>
    <r>
      <rPr>
        <b/>
        <vertAlign val="subscript"/>
        <sz val="16"/>
        <rFont val="Swis721 LtCn BT"/>
        <family val="2"/>
      </rPr>
      <t xml:space="preserve">Deprem </t>
    </r>
    <r>
      <rPr>
        <b/>
        <sz val="16"/>
        <rFont val="Swis721 LtCn BT"/>
        <family val="2"/>
      </rPr>
      <t>x</t>
    </r>
    <r>
      <rPr>
        <b/>
        <vertAlign val="subscript"/>
        <sz val="16"/>
        <rFont val="Swis721 LtCn BT"/>
        <family val="2"/>
      </rPr>
      <t xml:space="preserve"> </t>
    </r>
    <r>
      <rPr>
        <b/>
        <sz val="16"/>
        <rFont val="Swis721 LtCn BT"/>
        <family val="2"/>
      </rPr>
      <t>S</t>
    </r>
    <r>
      <rPr>
        <b/>
        <vertAlign val="subscript"/>
        <sz val="16"/>
        <rFont val="Swis721 LtCn BT"/>
        <family val="2"/>
      </rPr>
      <t>R</t>
    </r>
  </si>
  <si>
    <r>
      <t>N</t>
    </r>
    <r>
      <rPr>
        <b/>
        <vertAlign val="subscript"/>
        <sz val="18"/>
        <rFont val="Swis721 LtCn BT"/>
        <family val="2"/>
      </rPr>
      <t>30</t>
    </r>
  </si>
  <si>
    <r>
      <t>C</t>
    </r>
    <r>
      <rPr>
        <b/>
        <vertAlign val="subscript"/>
        <sz val="16"/>
        <rFont val="Swis721 LtCn BT"/>
        <family val="2"/>
      </rPr>
      <t>E</t>
    </r>
  </si>
  <si>
    <r>
      <t>C</t>
    </r>
    <r>
      <rPr>
        <b/>
        <vertAlign val="subscript"/>
        <sz val="16"/>
        <rFont val="Swis721 LtCn BT"/>
        <family val="2"/>
      </rPr>
      <t>S</t>
    </r>
  </si>
  <si>
    <r>
      <t>C</t>
    </r>
    <r>
      <rPr>
        <b/>
        <vertAlign val="subscript"/>
        <sz val="16"/>
        <rFont val="Swis721 LtCn BT"/>
        <family val="2"/>
      </rPr>
      <t>B</t>
    </r>
  </si>
  <si>
    <r>
      <t>C</t>
    </r>
    <r>
      <rPr>
        <b/>
        <vertAlign val="subscript"/>
        <sz val="16"/>
        <rFont val="Swis721 LtCn BT"/>
        <family val="2"/>
      </rPr>
      <t xml:space="preserve">R </t>
    </r>
    <r>
      <rPr>
        <b/>
        <sz val="16"/>
        <rFont val="Swis721 LtCn BT"/>
        <family val="2"/>
      </rPr>
      <t xml:space="preserve"> </t>
    </r>
    <r>
      <rPr>
        <b/>
        <vertAlign val="subscript"/>
        <sz val="11"/>
        <rFont val="Swis721 LtCn BT"/>
        <family val="2"/>
      </rPr>
      <t>(tij boyu düzeltme katsayısı)</t>
    </r>
  </si>
  <si>
    <r>
      <t>N</t>
    </r>
    <r>
      <rPr>
        <b/>
        <vertAlign val="subscript"/>
        <sz val="18"/>
        <rFont val="Swis721 LtCn BT"/>
        <family val="2"/>
      </rPr>
      <t>60</t>
    </r>
  </si>
  <si>
    <r>
      <rPr>
        <b/>
        <sz val="16"/>
        <rFont val="Swis721 LtCn BT"/>
        <family val="2"/>
      </rPr>
      <t>σ</t>
    </r>
    <r>
      <rPr>
        <b/>
        <vertAlign val="subscript"/>
        <sz val="16"/>
        <rFont val="Swis721 LtCn BT"/>
        <family val="2"/>
      </rPr>
      <t>vo</t>
    </r>
    <r>
      <rPr>
        <b/>
        <sz val="16"/>
        <rFont val="Swis721 LtCn BT"/>
        <family val="2"/>
      </rPr>
      <t xml:space="preserve"> </t>
    </r>
    <r>
      <rPr>
        <b/>
        <sz val="10"/>
        <rFont val="Swis721 LtCn BT"/>
        <family val="2"/>
      </rPr>
      <t>Düşey Gerilme  (Kn/m</t>
    </r>
    <r>
      <rPr>
        <b/>
        <vertAlign val="superscript"/>
        <sz val="10"/>
        <rFont val="Swis721 LtCn BT"/>
        <family val="2"/>
      </rPr>
      <t>2</t>
    </r>
    <r>
      <rPr>
        <b/>
        <sz val="10"/>
        <rFont val="Swis721 LtCn BT"/>
        <family val="2"/>
      </rPr>
      <t>)</t>
    </r>
  </si>
  <si>
    <r>
      <rPr>
        <b/>
        <sz val="16"/>
        <rFont val="Swis721 LtCn BT"/>
        <family val="2"/>
      </rPr>
      <t>σ'</t>
    </r>
    <r>
      <rPr>
        <b/>
        <vertAlign val="subscript"/>
        <sz val="16"/>
        <rFont val="Swis721 LtCn BT"/>
        <family val="2"/>
      </rPr>
      <t>vo</t>
    </r>
    <r>
      <rPr>
        <b/>
        <sz val="16"/>
        <rFont val="Swis721 LtCn BT"/>
        <family val="2"/>
      </rPr>
      <t xml:space="preserve"> </t>
    </r>
    <r>
      <rPr>
        <b/>
        <sz val="10"/>
        <rFont val="Swis721 LtCn BT"/>
        <family val="2"/>
      </rPr>
      <t>Efektif Gerilme  (Kn/m</t>
    </r>
    <r>
      <rPr>
        <b/>
        <vertAlign val="superscript"/>
        <sz val="10"/>
        <rFont val="Swis721 LtCn BT"/>
        <family val="2"/>
      </rPr>
      <t>2</t>
    </r>
    <r>
      <rPr>
        <b/>
        <sz val="10"/>
        <rFont val="Swis721 LtCn BT"/>
        <family val="2"/>
      </rPr>
      <t>)</t>
    </r>
  </si>
  <si>
    <r>
      <t>C</t>
    </r>
    <r>
      <rPr>
        <b/>
        <vertAlign val="subscript"/>
        <sz val="16"/>
        <rFont val="Swis721 LtCn BT"/>
        <family val="2"/>
      </rPr>
      <t>N</t>
    </r>
    <r>
      <rPr>
        <b/>
        <sz val="16"/>
        <rFont val="Swis721 LtCn BT"/>
        <family val="2"/>
      </rPr>
      <t xml:space="preserve">   </t>
    </r>
  </si>
  <si>
    <r>
      <t>r</t>
    </r>
    <r>
      <rPr>
        <b/>
        <vertAlign val="subscript"/>
        <sz val="18"/>
        <rFont val="Swis721 LtCn BT"/>
        <family val="2"/>
      </rPr>
      <t>d</t>
    </r>
  </si>
  <si>
    <r>
      <t>N</t>
    </r>
    <r>
      <rPr>
        <b/>
        <sz val="12"/>
        <rFont val="Swis721 LtCn BT"/>
        <family val="2"/>
      </rPr>
      <t>60</t>
    </r>
    <r>
      <rPr>
        <b/>
        <vertAlign val="subscript"/>
        <sz val="12"/>
        <rFont val="Swis721 LtCn BT"/>
        <family val="2"/>
      </rPr>
      <t xml:space="preserve">(30) </t>
    </r>
  </si>
  <si>
    <r>
      <rPr>
        <b/>
        <sz val="18"/>
        <rFont val="Swis721 LtCn BT"/>
        <family val="2"/>
      </rPr>
      <t>S</t>
    </r>
    <r>
      <rPr>
        <b/>
        <sz val="14"/>
        <rFont val="Swis721 LtCn BT"/>
        <family val="2"/>
      </rPr>
      <t>D</t>
    </r>
    <r>
      <rPr>
        <b/>
        <vertAlign val="subscript"/>
        <sz val="14"/>
        <rFont val="Swis721 LtCn BT"/>
        <family val="2"/>
      </rPr>
      <t>s</t>
    </r>
  </si>
  <si>
    <r>
      <t xml:space="preserve">CRR </t>
    </r>
    <r>
      <rPr>
        <b/>
        <vertAlign val="subscript"/>
        <sz val="16"/>
        <rFont val="Swis721 LtCn BT"/>
        <family val="2"/>
      </rPr>
      <t>M7,5</t>
    </r>
  </si>
  <si>
    <r>
      <t>CM</t>
    </r>
    <r>
      <rPr>
        <b/>
        <vertAlign val="subscript"/>
        <sz val="18"/>
        <rFont val="Swis721 LtCn BT"/>
        <family val="2"/>
      </rPr>
      <t>7</t>
    </r>
  </si>
  <si>
    <r>
      <t>W</t>
    </r>
    <r>
      <rPr>
        <b/>
        <vertAlign val="subscript"/>
        <sz val="12"/>
        <rFont val="Swis721 LtCn BT"/>
        <family val="2"/>
      </rPr>
      <t>N</t>
    </r>
    <r>
      <rPr>
        <b/>
        <sz val="12"/>
        <rFont val="Swis721 LtCn BT"/>
        <family val="2"/>
      </rPr>
      <t>/LL</t>
    </r>
  </si>
  <si>
    <r>
      <t>C</t>
    </r>
    <r>
      <rPr>
        <vertAlign val="subscript"/>
        <sz val="12"/>
        <color theme="1"/>
        <rFont val="Swis721 LtCn BT"/>
        <family val="2"/>
      </rPr>
      <t xml:space="preserve">E </t>
    </r>
    <r>
      <rPr>
        <sz val="12"/>
        <color theme="1"/>
        <rFont val="Swis721 LtCn BT"/>
        <family val="2"/>
      </rPr>
      <t>=</t>
    </r>
  </si>
  <si>
    <r>
      <t>C</t>
    </r>
    <r>
      <rPr>
        <vertAlign val="subscript"/>
        <sz val="12"/>
        <color theme="1"/>
        <rFont val="Swis721 LtCn BT"/>
        <family val="2"/>
      </rPr>
      <t xml:space="preserve">S </t>
    </r>
    <r>
      <rPr>
        <sz val="12"/>
        <color theme="1"/>
        <rFont val="Swis721 LtCn BT"/>
        <family val="2"/>
      </rPr>
      <t>=</t>
    </r>
  </si>
  <si>
    <r>
      <t>C</t>
    </r>
    <r>
      <rPr>
        <vertAlign val="subscript"/>
        <sz val="12"/>
        <color theme="1"/>
        <rFont val="Swis721 LtCn BT"/>
        <family val="2"/>
      </rPr>
      <t xml:space="preserve">B </t>
    </r>
    <r>
      <rPr>
        <sz val="12"/>
        <color theme="1"/>
        <rFont val="Swis721 LtCn BT"/>
        <family val="2"/>
      </rPr>
      <t>=</t>
    </r>
  </si>
  <si>
    <r>
      <t>JEOFİZİKTEN VS</t>
    </r>
    <r>
      <rPr>
        <vertAlign val="subscript"/>
        <sz val="12"/>
        <color theme="1"/>
        <rFont val="Swis721 LtCn BT"/>
        <family val="2"/>
      </rPr>
      <t>30</t>
    </r>
    <r>
      <rPr>
        <sz val="12"/>
        <color theme="1"/>
        <rFont val="Swis721 LtCn BT"/>
        <family val="2"/>
      </rPr>
      <t xml:space="preserve"> =</t>
    </r>
  </si>
  <si>
    <r>
      <rPr>
        <b/>
        <sz val="20"/>
        <rFont val="Swis721 LtCn BT"/>
        <family val="2"/>
      </rPr>
      <t>N</t>
    </r>
    <r>
      <rPr>
        <b/>
        <vertAlign val="subscript"/>
        <sz val="18"/>
        <rFont val="Swis721 LtCn BT"/>
        <family val="2"/>
      </rPr>
      <t>1</t>
    </r>
    <r>
      <rPr>
        <b/>
        <vertAlign val="subscript"/>
        <sz val="12"/>
        <rFont val="Swis721 LtCn BT"/>
        <family val="2"/>
      </rPr>
      <t>(60)</t>
    </r>
  </si>
  <si>
    <r>
      <t>N</t>
    </r>
    <r>
      <rPr>
        <b/>
        <vertAlign val="subscript"/>
        <sz val="12"/>
        <rFont val="Swis721 LtCn BT"/>
        <family val="2"/>
      </rPr>
      <t xml:space="preserve">1          </t>
    </r>
    <r>
      <rPr>
        <b/>
        <sz val="12"/>
        <rFont val="Swis721 LtCn BT"/>
        <family val="2"/>
      </rPr>
      <t xml:space="preserve"> (0-15)</t>
    </r>
  </si>
  <si>
    <r>
      <t>N</t>
    </r>
    <r>
      <rPr>
        <b/>
        <vertAlign val="subscript"/>
        <sz val="12"/>
        <rFont val="Swis721 LtCn BT"/>
        <family val="2"/>
      </rPr>
      <t xml:space="preserve">2          </t>
    </r>
    <r>
      <rPr>
        <b/>
        <sz val="12"/>
        <rFont val="Swis721 LtCn BT"/>
        <family val="2"/>
      </rPr>
      <t xml:space="preserve"> (15-30)</t>
    </r>
  </si>
  <si>
    <r>
      <t>N</t>
    </r>
    <r>
      <rPr>
        <b/>
        <vertAlign val="subscript"/>
        <sz val="12"/>
        <rFont val="Swis721 LtCn BT"/>
        <family val="2"/>
      </rPr>
      <t xml:space="preserve">3          </t>
    </r>
    <r>
      <rPr>
        <b/>
        <sz val="12"/>
        <rFont val="Swis721 LtCn BT"/>
        <family val="2"/>
      </rPr>
      <t xml:space="preserve"> (30-45)</t>
    </r>
  </si>
  <si>
    <r>
      <rPr>
        <b/>
        <sz val="16"/>
        <rFont val="Swis721 LtCn BT"/>
        <family val="2"/>
      </rPr>
      <t>γ</t>
    </r>
    <r>
      <rPr>
        <b/>
        <vertAlign val="subscript"/>
        <sz val="12"/>
        <rFont val="Swis721 LtCn BT"/>
        <family val="2"/>
      </rPr>
      <t xml:space="preserve"> kN/m3</t>
    </r>
    <r>
      <rPr>
        <b/>
        <sz val="12"/>
        <rFont val="Swis721 LtCn BT"/>
        <family val="2"/>
      </rPr>
      <t xml:space="preserve"> </t>
    </r>
    <r>
      <rPr>
        <b/>
        <sz val="10"/>
        <rFont val="Swis721 LtCn BT"/>
        <family val="2"/>
      </rPr>
      <t>(Doğal Birim Hacim Ağırlık )</t>
    </r>
  </si>
  <si>
    <r>
      <rPr>
        <b/>
        <sz val="16"/>
        <rFont val="Swis721 LtCn BT"/>
        <family val="2"/>
      </rPr>
      <t>γ</t>
    </r>
    <r>
      <rPr>
        <b/>
        <vertAlign val="subscript"/>
        <sz val="16"/>
        <rFont val="Swis721 LtCn BT"/>
        <family val="2"/>
      </rPr>
      <t>k</t>
    </r>
    <r>
      <rPr>
        <b/>
        <sz val="16"/>
        <rFont val="Swis721 LtCn BT"/>
        <family val="2"/>
      </rPr>
      <t xml:space="preserve"> </t>
    </r>
    <r>
      <rPr>
        <b/>
        <vertAlign val="subscript"/>
        <sz val="12"/>
        <rFont val="Swis721 LtCn BT"/>
        <family val="2"/>
      </rPr>
      <t xml:space="preserve">Kn/m3 </t>
    </r>
  </si>
  <si>
    <r>
      <t xml:space="preserve">e  </t>
    </r>
    <r>
      <rPr>
        <b/>
        <sz val="10"/>
        <rFont val="Swis721 LtCn BT"/>
        <family val="2"/>
      </rPr>
      <t>(Boşluk Oranı)</t>
    </r>
  </si>
  <si>
    <r>
      <rPr>
        <b/>
        <sz val="14"/>
        <rFont val="Swis721 LtCn BT"/>
        <family val="2"/>
      </rPr>
      <t>γ</t>
    </r>
    <r>
      <rPr>
        <b/>
        <vertAlign val="subscript"/>
        <sz val="14"/>
        <rFont val="Swis721 LtCn BT"/>
        <family val="2"/>
      </rPr>
      <t>d</t>
    </r>
    <r>
      <rPr>
        <b/>
        <vertAlign val="subscript"/>
        <sz val="16"/>
        <rFont val="Swis721 LtCn BT"/>
        <family val="2"/>
      </rPr>
      <t xml:space="preserve"> </t>
    </r>
    <r>
      <rPr>
        <b/>
        <vertAlign val="subscript"/>
        <sz val="12"/>
        <rFont val="Swis721 LtCn BT"/>
        <family val="2"/>
      </rPr>
      <t>kN/m3</t>
    </r>
    <r>
      <rPr>
        <b/>
        <sz val="12"/>
        <rFont val="Swis721 LtCn BT"/>
        <family val="2"/>
      </rPr>
      <t xml:space="preserve"> </t>
    </r>
    <r>
      <rPr>
        <b/>
        <sz val="10"/>
        <rFont val="Swis721 LtCn BT"/>
        <family val="2"/>
      </rPr>
      <t>(Doygun Birim Hacim Ağırlık )</t>
    </r>
  </si>
  <si>
    <r>
      <t>ŞİŞME POTANSİYELİ (%)= 0,00216 X (LL)</t>
    </r>
    <r>
      <rPr>
        <vertAlign val="superscript"/>
        <sz val="11"/>
        <color theme="1"/>
        <rFont val="Swis721 LtCn BT"/>
        <family val="2"/>
      </rPr>
      <t>2.44</t>
    </r>
  </si>
  <si>
    <t>SIVILAŞMA GENEL KONTROL AÇIKLAMA</t>
  </si>
  <si>
    <t>SIVILAŞMA YOK</t>
  </si>
  <si>
    <t>NOT: SADECE KIRMIZI RENKLİ HÜCRELERE VERİ GİRİŞİ YAPILACAK.</t>
  </si>
  <si>
    <t>İnce Dane (&lt; 0.005 mm} %15 ,LL &lt; 35</t>
  </si>
  <si>
    <r>
      <rPr>
        <b/>
        <sz val="20"/>
        <rFont val="Swis721 LtCn BT"/>
        <family val="2"/>
      </rPr>
      <t>N</t>
    </r>
    <r>
      <rPr>
        <b/>
        <vertAlign val="subscript"/>
        <sz val="20"/>
        <rFont val="Swis721 LtCn BT"/>
        <family val="2"/>
      </rPr>
      <t>1</t>
    </r>
    <r>
      <rPr>
        <b/>
        <vertAlign val="subscript"/>
        <sz val="14"/>
        <rFont val="Swis721 LtCn BT"/>
        <family val="2"/>
      </rPr>
      <t>(60)f</t>
    </r>
  </si>
  <si>
    <t>(PI%&gt; 12)</t>
  </si>
  <si>
    <r>
      <t>I</t>
    </r>
    <r>
      <rPr>
        <b/>
        <vertAlign val="subscript"/>
        <sz val="22"/>
        <rFont val="Swis721 LtCn BT"/>
        <family val="2"/>
      </rPr>
      <t>c</t>
    </r>
    <r>
      <rPr>
        <b/>
        <sz val="22"/>
        <rFont val="Swis721 LtCn BT"/>
        <family val="2"/>
      </rPr>
      <t xml:space="preserve"> </t>
    </r>
    <r>
      <rPr>
        <b/>
        <sz val="11"/>
        <rFont val="Swis721 LtCn BT"/>
        <family val="2"/>
      </rPr>
      <t>(kıvam indisi)</t>
    </r>
  </si>
  <si>
    <r>
      <rPr>
        <sz val="16"/>
        <color theme="1"/>
        <rFont val="Swis721 LtCn BT"/>
        <family val="2"/>
      </rPr>
      <t>I</t>
    </r>
    <r>
      <rPr>
        <vertAlign val="subscript"/>
        <sz val="16"/>
        <color theme="1"/>
        <rFont val="Swis721 LtCn BT"/>
        <family val="2"/>
      </rPr>
      <t>c</t>
    </r>
    <r>
      <rPr>
        <sz val="16"/>
        <color theme="1"/>
        <rFont val="Swis721 LtCn BT"/>
        <family val="2"/>
      </rPr>
      <t xml:space="preserve">≥0,75-1,00 </t>
    </r>
    <r>
      <rPr>
        <sz val="12"/>
        <color theme="1"/>
        <rFont val="Swis721 LtCn BT"/>
        <family val="2"/>
      </rPr>
      <t>---  oyun hamuru veya daha sert kıvamda , depremde mukavemet kaybı yaşamaz.</t>
    </r>
  </si>
  <si>
    <r>
      <rPr>
        <sz val="16"/>
        <color theme="1"/>
        <rFont val="Swis721 LtCn BT"/>
        <family val="2"/>
      </rPr>
      <t>I</t>
    </r>
    <r>
      <rPr>
        <vertAlign val="subscript"/>
        <sz val="16"/>
        <color theme="1"/>
        <rFont val="Swis721 LtCn BT"/>
        <family val="2"/>
      </rPr>
      <t>c</t>
    </r>
    <r>
      <rPr>
        <sz val="16"/>
        <color theme="1"/>
        <rFont val="Swis721 LtCn BT"/>
        <family val="2"/>
      </rPr>
      <t xml:space="preserve"> ≤ 0,5      </t>
    </r>
    <r>
      <rPr>
        <sz val="12"/>
        <color theme="1"/>
        <rFont val="Swis721 LtCn BT"/>
        <family val="2"/>
      </rPr>
      <t xml:space="preserve">  ----   camur balcık kıvamında zemin , depremde mukavemet kaybına uğrar.</t>
    </r>
  </si>
  <si>
    <t>A BLOK SK-1</t>
  </si>
  <si>
    <t>JET GROUT KOLONLARI KESME GÜVENLİĞİ</t>
  </si>
  <si>
    <t xml:space="preserve">NOT:KONTROLLER JET GROUT KOLONLARI DERİNLİĞİNE KADAR SAĞLAMAK ZORUNDA </t>
  </si>
  <si>
    <t>(PI%&lt; 12 - WN/LL&gt;0,5)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</si>
</sst>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  <charset val="162"/>
    </font>
    <font>
      <sz val="12"/>
      <name val="Arial Narrow"/>
      <family val="2"/>
      <charset val="162"/>
    </font>
    <font>
      <b/>
      <sz val="12"/>
      <name val="Arial Narrow"/>
      <family val="2"/>
      <charset val="162"/>
    </font>
    <font>
      <b/>
      <sz val="12"/>
      <color rgb="FFC00000"/>
      <name val="Arial Narrow"/>
      <family val="2"/>
      <charset val="162"/>
    </font>
    <font>
      <sz val="24"/>
      <color theme="1"/>
      <name val="Arial Narrow"/>
      <family val="2"/>
      <charset val="162"/>
    </font>
    <font>
      <b/>
      <vertAlign val="subscript"/>
      <sz val="12"/>
      <name val="Arial Narrow"/>
      <family val="2"/>
      <charset val="162"/>
    </font>
    <font>
      <b/>
      <sz val="16"/>
      <name val="Arial Narrow"/>
      <family val="2"/>
      <charset val="162"/>
    </font>
    <font>
      <b/>
      <sz val="11"/>
      <color rgb="FFC00000"/>
      <name val="Arial Narrow"/>
      <family val="2"/>
      <charset val="162"/>
    </font>
    <font>
      <b/>
      <sz val="18"/>
      <name val="Arial Narrow"/>
      <family val="2"/>
      <charset val="162"/>
    </font>
    <font>
      <b/>
      <vertAlign val="subscript"/>
      <sz val="18"/>
      <name val="Arial Narrow"/>
      <family val="2"/>
      <charset val="162"/>
    </font>
    <font>
      <b/>
      <sz val="11"/>
      <name val="Arial Narrow"/>
      <family val="2"/>
      <charset val="162"/>
    </font>
    <font>
      <b/>
      <sz val="10"/>
      <name val="Arial Narrow"/>
      <family val="2"/>
      <charset val="162"/>
    </font>
    <font>
      <sz val="8"/>
      <name val="Calibri"/>
      <family val="2"/>
      <scheme val="minor"/>
    </font>
    <font>
      <vertAlign val="subscript"/>
      <sz val="11"/>
      <color theme="1"/>
      <name val="Arial Narrow"/>
      <family val="2"/>
      <charset val="162"/>
    </font>
    <font>
      <b/>
      <sz val="20"/>
      <name val="Arial Narrow"/>
      <family val="2"/>
      <charset val="162"/>
    </font>
    <font>
      <b/>
      <vertAlign val="subscript"/>
      <sz val="20"/>
      <name val="Arial Narrow"/>
      <family val="2"/>
      <charset val="162"/>
    </font>
    <font>
      <sz val="11"/>
      <color theme="1"/>
      <name val="Swis721 LtCn BT"/>
      <family val="2"/>
    </font>
    <font>
      <b/>
      <sz val="14"/>
      <color rgb="FFC00000"/>
      <name val="Swis721 LtCn BT"/>
      <family val="2"/>
    </font>
    <font>
      <b/>
      <sz val="14"/>
      <name val="Swis721 LtCn BT"/>
      <family val="2"/>
    </font>
    <font>
      <vertAlign val="superscript"/>
      <sz val="11"/>
      <color theme="1"/>
      <name val="Swis721 LtCn BT"/>
      <family val="2"/>
    </font>
    <font>
      <sz val="24"/>
      <color theme="1"/>
      <name val="Swis721 LtCn BT"/>
      <family val="2"/>
    </font>
    <font>
      <b/>
      <sz val="12"/>
      <name val="Swis721 LtCn BT"/>
      <family val="2"/>
    </font>
    <font>
      <b/>
      <sz val="16"/>
      <name val="Swis721 LtCn BT"/>
      <family val="2"/>
    </font>
    <font>
      <b/>
      <vertAlign val="subscript"/>
      <sz val="16"/>
      <name val="Swis721 LtCn BT"/>
      <family val="2"/>
    </font>
    <font>
      <b/>
      <sz val="10"/>
      <name val="Swis721 LtCn BT"/>
      <family val="2"/>
    </font>
    <font>
      <b/>
      <vertAlign val="subscript"/>
      <sz val="12"/>
      <name val="Swis721 LtCn BT"/>
      <family val="2"/>
    </font>
    <font>
      <b/>
      <sz val="22"/>
      <name val="Swis721 LtCn BT"/>
      <family val="2"/>
    </font>
    <font>
      <b/>
      <vertAlign val="subscript"/>
      <sz val="11"/>
      <name val="Swis721 LtCn BT"/>
      <family val="2"/>
    </font>
    <font>
      <b/>
      <sz val="24"/>
      <name val="Swis721 LtCn BT"/>
      <family val="2"/>
    </font>
    <font>
      <sz val="12"/>
      <color theme="1"/>
      <name val="Swis721 LtCn BT"/>
      <family val="2"/>
    </font>
    <font>
      <b/>
      <sz val="18"/>
      <name val="Swis721 LtCn BT"/>
      <family val="2"/>
    </font>
    <font>
      <b/>
      <sz val="20"/>
      <name val="Swis721 LtCn BT"/>
      <family val="2"/>
    </font>
    <font>
      <b/>
      <sz val="10"/>
      <color theme="1"/>
      <name val="Swis721 LtCn BT"/>
      <family val="2"/>
    </font>
    <font>
      <b/>
      <sz val="11"/>
      <color rgb="FFC00000"/>
      <name val="Swis721 LtCn BT"/>
      <family val="2"/>
    </font>
    <font>
      <b/>
      <sz val="12"/>
      <color rgb="FFC00000"/>
      <name val="Swis721 LtCn BT"/>
      <family val="2"/>
    </font>
    <font>
      <b/>
      <sz val="36"/>
      <name val="Swis721 LtCn BT"/>
      <family val="2"/>
    </font>
    <font>
      <sz val="12"/>
      <name val="Swis721 LtCn BT"/>
      <family val="2"/>
    </font>
    <font>
      <b/>
      <sz val="11"/>
      <name val="Swis721 LtCn BT"/>
      <family val="2"/>
    </font>
    <font>
      <b/>
      <vertAlign val="subscript"/>
      <sz val="18"/>
      <name val="Swis721 LtCn BT"/>
      <family val="2"/>
    </font>
    <font>
      <b/>
      <vertAlign val="superscript"/>
      <sz val="10"/>
      <name val="Swis721 LtCn BT"/>
      <family val="2"/>
    </font>
    <font>
      <b/>
      <vertAlign val="subscript"/>
      <sz val="20"/>
      <name val="Swis721 LtCn BT"/>
      <family val="2"/>
    </font>
    <font>
      <b/>
      <vertAlign val="subscript"/>
      <sz val="14"/>
      <name val="Swis721 LtCn BT"/>
      <family val="2"/>
    </font>
    <font>
      <sz val="11"/>
      <name val="Swis721 LtCn BT"/>
      <family val="2"/>
    </font>
    <font>
      <vertAlign val="subscript"/>
      <sz val="12"/>
      <color theme="1"/>
      <name val="Swis721 LtCn BT"/>
      <family val="2"/>
    </font>
    <font>
      <b/>
      <sz val="11"/>
      <color theme="1"/>
      <name val="Arial Narrow"/>
      <family val="2"/>
      <charset val="162"/>
    </font>
    <font>
      <b/>
      <vertAlign val="subscript"/>
      <sz val="22"/>
      <name val="Swis721 LtCn BT"/>
      <family val="2"/>
    </font>
    <font>
      <sz val="16"/>
      <color theme="1"/>
      <name val="Swis721 LtCn BT"/>
      <family val="2"/>
    </font>
    <font>
      <vertAlign val="subscript"/>
      <sz val="16"/>
      <color theme="1"/>
      <name val="Swis721 LtCn BT"/>
      <family val="2"/>
    </font>
    <font>
      <b/>
      <sz val="28"/>
      <name val="Swis721 LtCn BT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164" fontId="2" fillId="0" borderId="0" xfId="0" applyNumberFormat="1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/>
    <xf numFmtId="0" fontId="11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wrapText="1"/>
    </xf>
    <xf numFmtId="2" fontId="9" fillId="2" borderId="1" xfId="0" applyNumberFormat="1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7" fillId="2" borderId="1" xfId="0" applyNumberFormat="1" applyFont="1" applyFill="1" applyBorder="1" applyAlignment="1">
      <alignment horizontal="center" wrapText="1"/>
    </xf>
    <xf numFmtId="2" fontId="8" fillId="3" borderId="1" xfId="0" applyNumberFormat="1" applyFont="1" applyFill="1" applyBorder="1" applyAlignment="1">
      <alignment horizontal="center" vertical="center"/>
    </xf>
    <xf numFmtId="2" fontId="8" fillId="3" borderId="4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wrapText="1"/>
    </xf>
    <xf numFmtId="165" fontId="8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7" fillId="0" borderId="0" xfId="0" applyFont="1"/>
    <xf numFmtId="0" fontId="18" fillId="4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17" fillId="0" borderId="0" xfId="0" applyNumberFormat="1" applyFont="1"/>
    <xf numFmtId="0" fontId="18" fillId="4" borderId="0" xfId="0" applyFont="1" applyFill="1" applyAlignment="1">
      <alignment horizontal="center"/>
    </xf>
    <xf numFmtId="2" fontId="22" fillId="2" borderId="1" xfId="0" applyNumberFormat="1" applyFont="1" applyFill="1" applyBorder="1" applyAlignment="1">
      <alignment horizont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2" fontId="23" fillId="2" borderId="1" xfId="0" applyNumberFormat="1" applyFont="1" applyFill="1" applyBorder="1" applyAlignment="1">
      <alignment horizontal="center" vertical="center" wrapText="1"/>
    </xf>
    <xf numFmtId="2" fontId="25" fillId="2" borderId="1" xfId="0" applyNumberFormat="1" applyFont="1" applyFill="1" applyBorder="1" applyAlignment="1">
      <alignment horizontal="center" vertical="center" wrapText="1"/>
    </xf>
    <xf numFmtId="164" fontId="27" fillId="2" borderId="1" xfId="0" applyNumberFormat="1" applyFont="1" applyFill="1" applyBorder="1" applyAlignment="1">
      <alignment horizontal="center" vertical="center" wrapText="1"/>
    </xf>
    <xf numFmtId="164" fontId="17" fillId="3" borderId="1" xfId="0" applyNumberFormat="1" applyFont="1" applyFill="1" applyBorder="1" applyAlignment="1">
      <alignment horizontal="center" vertical="center"/>
    </xf>
    <xf numFmtId="0" fontId="17" fillId="0" borderId="0" xfId="0" applyFont="1" applyFill="1"/>
    <xf numFmtId="2" fontId="22" fillId="2" borderId="2" xfId="0" applyNumberFormat="1" applyFont="1" applyFill="1" applyBorder="1" applyAlignment="1">
      <alignment horizontal="center" vertical="center" wrapText="1"/>
    </xf>
    <xf numFmtId="164" fontId="27" fillId="2" borderId="2" xfId="0" applyNumberFormat="1" applyFont="1" applyFill="1" applyBorder="1" applyAlignment="1">
      <alignment horizontal="center" vertical="center" wrapText="1"/>
    </xf>
    <xf numFmtId="2" fontId="23" fillId="2" borderId="2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2" fontId="30" fillId="3" borderId="1" xfId="0" applyNumberFormat="1" applyFont="1" applyFill="1" applyBorder="1" applyAlignment="1">
      <alignment horizontal="center" vertical="center"/>
    </xf>
    <xf numFmtId="4" fontId="30" fillId="3" borderId="1" xfId="0" applyNumberFormat="1" applyFont="1" applyFill="1" applyBorder="1" applyAlignment="1">
      <alignment horizontal="center" vertical="center"/>
    </xf>
    <xf numFmtId="164" fontId="30" fillId="3" borderId="1" xfId="0" applyNumberFormat="1" applyFont="1" applyFill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/>
    </xf>
    <xf numFmtId="0" fontId="30" fillId="0" borderId="1" xfId="0" applyFont="1" applyFill="1" applyBorder="1" applyAlignment="1">
      <alignment horizontal="center" vertical="center"/>
    </xf>
    <xf numFmtId="2" fontId="30" fillId="0" borderId="1" xfId="0" applyNumberFormat="1" applyFont="1" applyFill="1" applyBorder="1" applyAlignment="1">
      <alignment horizontal="center" vertical="center"/>
    </xf>
    <xf numFmtId="164" fontId="30" fillId="3" borderId="1" xfId="0" applyNumberFormat="1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vertical="center"/>
    </xf>
    <xf numFmtId="0" fontId="22" fillId="2" borderId="2" xfId="0" applyNumberFormat="1" applyFont="1" applyFill="1" applyBorder="1" applyAlignment="1">
      <alignment horizontal="center" wrapText="1"/>
    </xf>
    <xf numFmtId="0" fontId="33" fillId="0" borderId="0" xfId="0" applyFont="1"/>
    <xf numFmtId="0" fontId="17" fillId="0" borderId="0" xfId="0" applyFont="1" applyFill="1" applyBorder="1" applyAlignment="1">
      <alignment horizontal="center" vertical="center"/>
    </xf>
    <xf numFmtId="2" fontId="17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/>
    </xf>
    <xf numFmtId="164" fontId="3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22" fillId="2" borderId="1" xfId="0" applyNumberFormat="1" applyFont="1" applyFill="1" applyBorder="1" applyAlignment="1">
      <alignment horizontal="center" wrapText="1"/>
    </xf>
    <xf numFmtId="2" fontId="31" fillId="2" borderId="1" xfId="0" applyNumberFormat="1" applyFont="1" applyFill="1" applyBorder="1" applyAlignment="1">
      <alignment horizontal="center" wrapText="1"/>
    </xf>
    <xf numFmtId="2" fontId="23" fillId="2" borderId="1" xfId="0" applyNumberFormat="1" applyFont="1" applyFill="1" applyBorder="1" applyAlignment="1">
      <alignment horizontal="center" wrapText="1"/>
    </xf>
    <xf numFmtId="164" fontId="19" fillId="2" borderId="1" xfId="0" applyNumberFormat="1" applyFont="1" applyFill="1" applyBorder="1" applyAlignment="1">
      <alignment horizontal="center" wrapText="1"/>
    </xf>
    <xf numFmtId="164" fontId="27" fillId="2" borderId="1" xfId="0" applyNumberFormat="1" applyFont="1" applyFill="1" applyBorder="1" applyAlignment="1">
      <alignment horizontal="center" wrapText="1"/>
    </xf>
    <xf numFmtId="164" fontId="23" fillId="2" borderId="1" xfId="0" applyNumberFormat="1" applyFont="1" applyFill="1" applyBorder="1" applyAlignment="1">
      <alignment horizontal="center" wrapText="1"/>
    </xf>
    <xf numFmtId="2" fontId="22" fillId="2" borderId="0" xfId="0" applyNumberFormat="1" applyFont="1" applyFill="1" applyBorder="1" applyAlignment="1">
      <alignment horizontal="center" wrapText="1"/>
    </xf>
    <xf numFmtId="2" fontId="22" fillId="2" borderId="1" xfId="0" applyNumberFormat="1" applyFont="1" applyFill="1" applyBorder="1" applyAlignment="1">
      <alignment wrapText="1"/>
    </xf>
    <xf numFmtId="0" fontId="37" fillId="3" borderId="1" xfId="0" applyFont="1" applyFill="1" applyBorder="1" applyAlignment="1">
      <alignment horizontal="center" vertical="center" wrapText="1"/>
    </xf>
    <xf numFmtId="1" fontId="37" fillId="3" borderId="1" xfId="0" applyNumberFormat="1" applyFont="1" applyFill="1" applyBorder="1" applyAlignment="1">
      <alignment horizontal="center" vertical="center" wrapText="1"/>
    </xf>
    <xf numFmtId="2" fontId="37" fillId="3" borderId="1" xfId="0" applyNumberFormat="1" applyFont="1" applyFill="1" applyBorder="1" applyAlignment="1">
      <alignment horizontal="center" vertical="center" wrapText="1"/>
    </xf>
    <xf numFmtId="2" fontId="17" fillId="4" borderId="0" xfId="0" applyNumberFormat="1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2" fontId="17" fillId="3" borderId="0" xfId="0" applyNumberFormat="1" applyFont="1" applyFill="1" applyBorder="1" applyAlignment="1">
      <alignment horizontal="center" vertical="center"/>
    </xf>
    <xf numFmtId="1" fontId="35" fillId="3" borderId="1" xfId="0" applyNumberFormat="1" applyFont="1" applyFill="1" applyBorder="1" applyAlignment="1">
      <alignment horizontal="center" vertical="center" wrapText="1"/>
    </xf>
    <xf numFmtId="2" fontId="35" fillId="3" borderId="1" xfId="0" applyNumberFormat="1" applyFont="1" applyFill="1" applyBorder="1" applyAlignment="1">
      <alignment horizontal="center" vertical="center" wrapText="1"/>
    </xf>
    <xf numFmtId="1" fontId="35" fillId="0" borderId="0" xfId="0" applyNumberFormat="1" applyFont="1" applyFill="1" applyBorder="1" applyAlignment="1">
      <alignment horizontal="center" vertical="center" wrapText="1"/>
    </xf>
    <xf numFmtId="2" fontId="35" fillId="0" borderId="0" xfId="0" applyNumberFormat="1" applyFont="1" applyFill="1" applyBorder="1" applyAlignment="1">
      <alignment horizontal="center" vertical="center" wrapText="1"/>
    </xf>
    <xf numFmtId="164" fontId="43" fillId="0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 wrapText="1"/>
    </xf>
    <xf numFmtId="164" fontId="37" fillId="0" borderId="0" xfId="0" applyNumberFormat="1" applyFont="1" applyFill="1" applyBorder="1" applyAlignment="1">
      <alignment horizontal="center" vertical="center" wrapText="1"/>
    </xf>
    <xf numFmtId="2" fontId="37" fillId="0" borderId="0" xfId="0" applyNumberFormat="1" applyFont="1" applyFill="1" applyBorder="1" applyAlignment="1">
      <alignment horizontal="center" vertical="center" wrapText="1"/>
    </xf>
    <xf numFmtId="2" fontId="17" fillId="0" borderId="0" xfId="0" applyNumberFormat="1" applyFont="1"/>
    <xf numFmtId="0" fontId="17" fillId="0" borderId="0" xfId="0" applyFont="1" applyAlignment="1">
      <alignment wrapText="1"/>
    </xf>
    <xf numFmtId="164" fontId="37" fillId="3" borderId="1" xfId="0" applyNumberFormat="1" applyFont="1" applyFill="1" applyBorder="1" applyAlignment="1">
      <alignment horizontal="center" vertical="center"/>
    </xf>
    <xf numFmtId="164" fontId="30" fillId="4" borderId="1" xfId="0" applyNumberFormat="1" applyFont="1" applyFill="1" applyBorder="1" applyAlignment="1">
      <alignment horizontal="center" vertical="center"/>
    </xf>
    <xf numFmtId="2" fontId="30" fillId="4" borderId="1" xfId="0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2" fontId="37" fillId="0" borderId="0" xfId="0" applyNumberFormat="1" applyFont="1" applyFill="1" applyBorder="1" applyAlignment="1">
      <alignment horizontal="center" vertical="center"/>
    </xf>
    <xf numFmtId="2" fontId="37" fillId="0" borderId="0" xfId="0" applyNumberFormat="1" applyFont="1" applyFill="1" applyBorder="1" applyAlignment="1">
      <alignment horizontal="right" vertical="center"/>
    </xf>
    <xf numFmtId="164" fontId="37" fillId="0" borderId="0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right" vertical="center"/>
    </xf>
    <xf numFmtId="0" fontId="30" fillId="0" borderId="0" xfId="0" applyFont="1"/>
    <xf numFmtId="0" fontId="30" fillId="0" borderId="0" xfId="0" applyFont="1" applyFill="1" applyBorder="1" applyAlignment="1">
      <alignment horizontal="center" vertical="center"/>
    </xf>
    <xf numFmtId="2" fontId="30" fillId="0" borderId="0" xfId="0" applyNumberFormat="1" applyFont="1" applyFill="1" applyBorder="1" applyAlignment="1">
      <alignment horizontal="center" vertical="center"/>
    </xf>
    <xf numFmtId="164" fontId="30" fillId="0" borderId="0" xfId="0" applyNumberFormat="1" applyFont="1" applyFill="1" applyBorder="1" applyAlignment="1">
      <alignment horizontal="center" vertical="center"/>
    </xf>
    <xf numFmtId="2" fontId="30" fillId="0" borderId="0" xfId="0" applyNumberFormat="1" applyFont="1"/>
    <xf numFmtId="0" fontId="30" fillId="0" borderId="0" xfId="0" applyFont="1" applyAlignment="1">
      <alignment wrapText="1"/>
    </xf>
    <xf numFmtId="0" fontId="30" fillId="0" borderId="0" xfId="0" applyFont="1" applyAlignment="1">
      <alignment horizontal="right"/>
    </xf>
    <xf numFmtId="164" fontId="30" fillId="0" borderId="0" xfId="0" applyNumberFormat="1" applyFont="1" applyAlignment="1">
      <alignment horizontal="center"/>
    </xf>
    <xf numFmtId="2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164" fontId="22" fillId="2" borderId="1" xfId="0" applyNumberFormat="1" applyFont="1" applyFill="1" applyBorder="1" applyAlignment="1">
      <alignment horizontal="center" vertical="center" wrapText="1"/>
    </xf>
    <xf numFmtId="10" fontId="17" fillId="0" borderId="0" xfId="0" applyNumberFormat="1" applyFont="1" applyAlignment="1">
      <alignment horizontal="center" vertical="center"/>
    </xf>
    <xf numFmtId="0" fontId="35" fillId="3" borderId="1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64" fontId="43" fillId="0" borderId="0" xfId="0" applyNumberFormat="1" applyFont="1" applyFill="1" applyBorder="1" applyAlignment="1">
      <alignment horizontal="right" vertical="center"/>
    </xf>
    <xf numFmtId="164" fontId="30" fillId="3" borderId="1" xfId="0" applyNumberFormat="1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17" fillId="0" borderId="0" xfId="0" applyFont="1" applyAlignment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3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 wrapText="1"/>
    </xf>
    <xf numFmtId="164" fontId="3" fillId="2" borderId="6" xfId="0" applyNumberFormat="1" applyFont="1" applyFill="1" applyBorder="1" applyAlignment="1">
      <alignment horizontal="center" wrapText="1"/>
    </xf>
    <xf numFmtId="0" fontId="37" fillId="3" borderId="5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164" fontId="22" fillId="2" borderId="5" xfId="0" applyNumberFormat="1" applyFont="1" applyFill="1" applyBorder="1" applyAlignment="1">
      <alignment horizontal="center" wrapText="1"/>
    </xf>
    <xf numFmtId="164" fontId="22" fillId="2" borderId="6" xfId="0" applyNumberFormat="1" applyFont="1" applyFill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30" fillId="0" borderId="3" xfId="0" applyFont="1" applyFill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36" fillId="0" borderId="0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3" fillId="2" borderId="1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164" fontId="30" fillId="3" borderId="1" xfId="0" applyNumberFormat="1" applyFont="1" applyFill="1" applyBorder="1" applyAlignment="1">
      <alignment horizontal="center" vertical="center"/>
    </xf>
    <xf numFmtId="164" fontId="30" fillId="0" borderId="5" xfId="0" applyNumberFormat="1" applyFont="1" applyFill="1" applyBorder="1" applyAlignment="1">
      <alignment horizontal="center" vertical="center"/>
    </xf>
    <xf numFmtId="164" fontId="30" fillId="0" borderId="7" xfId="0" applyNumberFormat="1" applyFont="1" applyFill="1" applyBorder="1" applyAlignment="1">
      <alignment horizontal="center" vertical="center"/>
    </xf>
    <xf numFmtId="164" fontId="30" fillId="0" borderId="6" xfId="0" applyNumberFormat="1" applyFont="1" applyFill="1" applyBorder="1" applyAlignment="1">
      <alignment horizontal="center" vertical="center"/>
    </xf>
    <xf numFmtId="0" fontId="19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numFmt numFmtId="2" formatCode="0.00"/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</xdr:colOff>
      <xdr:row>36</xdr:row>
      <xdr:rowOff>14287</xdr:rowOff>
    </xdr:from>
    <xdr:ext cx="2624138" cy="4238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Metin kutusu 1">
              <a:extLst>
                <a:ext uri="{FF2B5EF4-FFF2-40B4-BE49-F238E27FC236}">
                  <a16:creationId xmlns:a16="http://schemas.microsoft.com/office/drawing/2014/main" id="{561E67D3-5A84-44BE-8701-D7FE546DD5CC}"/>
                </a:ext>
              </a:extLst>
            </xdr:cNvPr>
            <xdr:cNvSpPr txBox="1"/>
          </xdr:nvSpPr>
          <xdr:spPr>
            <a:xfrm>
              <a:off x="433387" y="16111537"/>
              <a:ext cx="2624138" cy="4238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tr-TR" sz="1800" i="0">
                  <a:latin typeface="+mn-lt"/>
                </a:rPr>
                <a:t>C</a:t>
              </a:r>
              <a:r>
                <a:rPr lang="tr-TR" sz="1800" i="0" baseline="-25000">
                  <a:latin typeface="+mn-lt"/>
                </a:rPr>
                <a:t>N</a:t>
              </a:r>
              <a:r>
                <a:rPr lang="tr-TR" sz="1800" i="0">
                  <a:latin typeface="+mn-lt"/>
                </a:rPr>
                <a:t>=</a:t>
              </a:r>
              <a14:m>
                <m:oMath xmlns:m="http://schemas.openxmlformats.org/officeDocument/2006/math">
                  <m:r>
                    <a:rPr lang="tr-TR" sz="1800" b="0" i="0">
                      <a:latin typeface="Cambria Math" panose="02040503050406030204" pitchFamily="18" charset="0"/>
                    </a:rPr>
                    <m:t>9,78</m:t>
                  </m:r>
                  <m:rad>
                    <m:radPr>
                      <m:degHide m:val="on"/>
                      <m:ctrlPr>
                        <a:rPr lang="tr-TR" sz="18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l-GR" sz="1800" i="1">
                          <a:latin typeface="Cambria Math" panose="02040503050406030204" pitchFamily="18" charset="0"/>
                        </a:rPr>
                        <m:t>1/</m:t>
                      </m:r>
                      <m:r>
                        <a:rPr lang="el-GR" sz="1800" i="1">
                          <a:latin typeface="Cambria Math" panose="02040503050406030204" pitchFamily="18" charset="0"/>
                        </a:rPr>
                        <m:t>𝜎</m:t>
                      </m:r>
                      <m:r>
                        <a:rPr lang="el-GR" sz="1800" i="1">
                          <a:latin typeface="Cambria Math" panose="02040503050406030204" pitchFamily="18" charset="0"/>
                        </a:rPr>
                        <m:t>′</m:t>
                      </m:r>
                      <m:r>
                        <a:rPr lang="tr-TR" sz="1800" i="1" baseline="-25000">
                          <a:latin typeface="Cambria Math" panose="02040503050406030204" pitchFamily="18" charset="0"/>
                        </a:rPr>
                        <m:t>𝑣</m:t>
                      </m:r>
                      <m:r>
                        <a:rPr lang="tr-TR" sz="1800" i="1" baseline="-25000">
                          <a:latin typeface="Cambria Math" panose="02040503050406030204" pitchFamily="18" charset="0"/>
                        </a:rPr>
                        <m:t>0</m:t>
                      </m:r>
                    </m:e>
                  </m:rad>
                </m:oMath>
              </a14:m>
              <a:r>
                <a:rPr lang="tr-TR" sz="1100"/>
                <a:t>      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0,5≤</a:t>
              </a:r>
              <a:r>
                <a:rPr lang="tr-T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</a:t>
              </a:r>
              <a:r>
                <a:rPr lang="tr-TR" sz="110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N</a:t>
              </a:r>
              <a:r>
                <a:rPr lang="tr-T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 1,7</a:t>
              </a:r>
              <a:r>
                <a:rPr lang="tr-T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    </a:t>
              </a:r>
              <a:endParaRPr lang="tr-TR">
                <a:effectLst/>
              </a:endParaRPr>
            </a:p>
            <a:p>
              <a:r>
                <a:rPr lang="tr-TR" sz="1100"/>
                <a:t>      </a:t>
              </a:r>
            </a:p>
          </xdr:txBody>
        </xdr:sp>
      </mc:Choice>
      <mc:Fallback xmlns="">
        <xdr:sp macro="" textlink="">
          <xdr:nvSpPr>
            <xdr:cNvPr id="2" name="Metin kutusu 1">
              <a:extLst>
                <a:ext uri="{FF2B5EF4-FFF2-40B4-BE49-F238E27FC236}">
                  <a16:creationId xmlns:a16="http://schemas.microsoft.com/office/drawing/2014/main" id="{561E67D3-5A84-44BE-8701-D7FE546DD5CC}"/>
                </a:ext>
              </a:extLst>
            </xdr:cNvPr>
            <xdr:cNvSpPr txBox="1"/>
          </xdr:nvSpPr>
          <xdr:spPr>
            <a:xfrm>
              <a:off x="433387" y="16111537"/>
              <a:ext cx="2624138" cy="4238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tr-TR" sz="1800" i="0">
                  <a:latin typeface="+mn-lt"/>
                </a:rPr>
                <a:t>C</a:t>
              </a:r>
              <a:r>
                <a:rPr lang="tr-TR" sz="1800" i="0" baseline="-25000">
                  <a:latin typeface="+mn-lt"/>
                </a:rPr>
                <a:t>N</a:t>
              </a:r>
              <a:r>
                <a:rPr lang="tr-TR" sz="1800" i="0">
                  <a:latin typeface="+mn-lt"/>
                </a:rPr>
                <a:t>=</a:t>
              </a:r>
              <a:r>
                <a:rPr lang="tr-TR" sz="1800" b="0" i="0">
                  <a:latin typeface="Cambria Math" panose="02040503050406030204" pitchFamily="18" charset="0"/>
                </a:rPr>
                <a:t>9,78</a:t>
              </a:r>
              <a:r>
                <a:rPr lang="tr-TR" sz="1800" i="0">
                  <a:latin typeface="Cambria Math" panose="02040503050406030204" pitchFamily="18" charset="0"/>
                </a:rPr>
                <a:t>√(</a:t>
              </a:r>
              <a:r>
                <a:rPr lang="el-GR" sz="1800" i="0">
                  <a:latin typeface="Cambria Math" panose="02040503050406030204" pitchFamily="18" charset="0"/>
                </a:rPr>
                <a:t>1/𝜎′</a:t>
              </a:r>
              <a:r>
                <a:rPr lang="tr-TR" sz="1800" i="0" baseline="-25000">
                  <a:latin typeface="Cambria Math" panose="02040503050406030204" pitchFamily="18" charset="0"/>
                </a:rPr>
                <a:t>𝑣0)</a:t>
              </a:r>
              <a:r>
                <a:rPr lang="tr-TR" sz="1100"/>
                <a:t>      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0,5≤</a:t>
              </a:r>
              <a:r>
                <a:rPr lang="tr-T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</a:t>
              </a:r>
              <a:r>
                <a:rPr lang="tr-TR" sz="110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N</a:t>
              </a:r>
              <a:r>
                <a:rPr lang="tr-T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 1,7</a:t>
              </a:r>
              <a:r>
                <a:rPr lang="tr-T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    </a:t>
              </a:r>
              <a:endParaRPr lang="tr-TR">
                <a:effectLst/>
              </a:endParaRPr>
            </a:p>
            <a:p>
              <a:r>
                <a:rPr lang="tr-TR" sz="1100"/>
                <a:t>      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2A9C-3711-4D43-A937-81392F1CA777}">
  <dimension ref="B4:Y33"/>
  <sheetViews>
    <sheetView showZeros="0" zoomScaleNormal="100" zoomScaleSheetLayoutView="100" workbookViewId="0">
      <selection activeCell="I32" sqref="I32"/>
    </sheetView>
  </sheetViews>
  <sheetFormatPr defaultRowHeight="15" x14ac:dyDescent="0.25"/>
  <cols>
    <col min="4" max="4" width="7.85546875" customWidth="1"/>
    <col min="16" max="16" width="8.5703125" customWidth="1"/>
    <col min="24" max="24" width="19.28515625" customWidth="1"/>
  </cols>
  <sheetData>
    <row r="4" spans="2:25" ht="18" x14ac:dyDescent="0.35">
      <c r="B4" s="125" t="s">
        <v>41</v>
      </c>
      <c r="C4" s="125"/>
      <c r="D4" s="16">
        <v>134.69999999999999</v>
      </c>
      <c r="E4" s="2" t="s">
        <v>0</v>
      </c>
      <c r="F4" s="2"/>
      <c r="G4" s="2"/>
      <c r="H4" s="1"/>
      <c r="I4" s="1"/>
      <c r="J4" s="15" t="s">
        <v>42</v>
      </c>
      <c r="K4" s="16">
        <v>7</v>
      </c>
      <c r="L4" s="1"/>
      <c r="M4" s="15" t="s">
        <v>43</v>
      </c>
      <c r="N4" s="16">
        <v>1</v>
      </c>
    </row>
    <row r="5" spans="2:25" ht="18" x14ac:dyDescent="0.35">
      <c r="B5" s="1"/>
      <c r="C5" s="15" t="s">
        <v>40</v>
      </c>
      <c r="D5" s="16">
        <v>0.81</v>
      </c>
      <c r="E5" s="2"/>
      <c r="F5" s="2"/>
      <c r="G5" s="2"/>
      <c r="H5" s="1"/>
      <c r="I5" s="1"/>
      <c r="J5" s="15" t="str">
        <f>CONCATENATE("CM ",  K4," = ")</f>
        <v xml:space="preserve">CM 7 = </v>
      </c>
      <c r="K5" s="17">
        <f>((10^2.24)/(K4^2.56))</f>
        <v>1.192748880379199</v>
      </c>
      <c r="L5" s="1"/>
      <c r="M5" s="15" t="s">
        <v>44</v>
      </c>
      <c r="N5" s="16">
        <v>1</v>
      </c>
    </row>
    <row r="6" spans="2:25" ht="18" x14ac:dyDescent="0.35">
      <c r="B6" s="1"/>
      <c r="C6" s="1"/>
      <c r="D6" s="1"/>
      <c r="E6" s="2"/>
      <c r="F6" s="2"/>
      <c r="G6" s="2"/>
      <c r="H6" s="1"/>
      <c r="I6" s="1"/>
      <c r="J6" s="1"/>
      <c r="K6" s="1"/>
      <c r="L6" s="1"/>
      <c r="M6" s="15" t="s">
        <v>45</v>
      </c>
      <c r="N6" s="16">
        <v>1.1000000000000001</v>
      </c>
    </row>
    <row r="7" spans="2:25" ht="16.5" x14ac:dyDescent="0.3">
      <c r="B7" s="1"/>
      <c r="C7" s="1"/>
      <c r="D7" s="1"/>
      <c r="E7" s="1"/>
      <c r="F7" s="1"/>
      <c r="G7" s="1"/>
      <c r="H7" s="1"/>
      <c r="I7" s="1"/>
      <c r="J7" s="1"/>
    </row>
    <row r="8" spans="2:25" ht="16.5" x14ac:dyDescent="0.3">
      <c r="B8" s="126" t="s">
        <v>159</v>
      </c>
      <c r="C8" s="126"/>
      <c r="D8" s="126"/>
      <c r="E8" s="125" t="s">
        <v>36</v>
      </c>
      <c r="F8" s="125"/>
      <c r="G8" s="1"/>
      <c r="H8" s="1" t="s">
        <v>34</v>
      </c>
      <c r="I8" s="1" t="s">
        <v>35</v>
      </c>
      <c r="J8" s="1"/>
    </row>
    <row r="9" spans="2:25" ht="16.5" x14ac:dyDescent="0.3">
      <c r="B9" s="126"/>
      <c r="C9" s="126"/>
      <c r="D9" s="126"/>
      <c r="E9" s="127">
        <v>20</v>
      </c>
      <c r="F9" s="127"/>
      <c r="G9" s="26"/>
      <c r="H9" s="27">
        <v>2</v>
      </c>
      <c r="I9" s="27">
        <v>1.5</v>
      </c>
      <c r="J9" s="23"/>
    </row>
    <row r="10" spans="2:25" ht="80.25" x14ac:dyDescent="0.45">
      <c r="B10" s="12" t="s">
        <v>3</v>
      </c>
      <c r="C10" s="12" t="s">
        <v>4</v>
      </c>
      <c r="D10" s="12" t="s">
        <v>5</v>
      </c>
      <c r="E10" s="12" t="s">
        <v>6</v>
      </c>
      <c r="F10" s="12" t="s">
        <v>7</v>
      </c>
      <c r="G10" s="13" t="s">
        <v>8</v>
      </c>
      <c r="H10" s="14" t="s">
        <v>2</v>
      </c>
      <c r="I10" s="128" t="s">
        <v>10</v>
      </c>
      <c r="J10" s="129"/>
      <c r="L10" s="18" t="s">
        <v>1</v>
      </c>
      <c r="M10" s="12" t="s">
        <v>82</v>
      </c>
      <c r="N10" s="12" t="s">
        <v>39</v>
      </c>
      <c r="O10" s="12" t="s">
        <v>81</v>
      </c>
      <c r="P10" s="21" t="s">
        <v>79</v>
      </c>
      <c r="Q10" s="21" t="s">
        <v>80</v>
      </c>
      <c r="R10" s="12" t="s">
        <v>55</v>
      </c>
      <c r="S10" s="12" t="s">
        <v>78</v>
      </c>
      <c r="W10" s="3" t="s">
        <v>2</v>
      </c>
      <c r="X10" s="3" t="s">
        <v>10</v>
      </c>
      <c r="Y10" s="1"/>
    </row>
    <row r="11" spans="2:25" ht="16.5" x14ac:dyDescent="0.3">
      <c r="B11" s="4">
        <v>1</v>
      </c>
      <c r="C11" s="5">
        <v>1.5</v>
      </c>
      <c r="D11" s="6">
        <v>9</v>
      </c>
      <c r="E11" s="6">
        <v>9</v>
      </c>
      <c r="F11" s="6">
        <v>13</v>
      </c>
      <c r="G11" s="25">
        <f t="shared" ref="G11:G29" si="0">IF(B11="","",E11+F11)</f>
        <v>22</v>
      </c>
      <c r="H11" s="7" t="s">
        <v>77</v>
      </c>
      <c r="I11" s="123" t="str">
        <f>IF(H11="","",VLOOKUP(H11,$W$11:$X$25,2,FALSE))</f>
        <v>Killi Kumlu Zemin</v>
      </c>
      <c r="J11" s="124"/>
      <c r="L11" s="4">
        <f t="shared" ref="L11:L29" si="1">IF(B11=0," ",$H$9)</f>
        <v>2</v>
      </c>
      <c r="M11" s="10">
        <v>19.2</v>
      </c>
      <c r="N11" s="10" t="s">
        <v>83</v>
      </c>
      <c r="O11" s="19">
        <v>63.2</v>
      </c>
      <c r="P11" s="22">
        <v>29.4</v>
      </c>
      <c r="Q11" s="22">
        <v>19.7</v>
      </c>
      <c r="R11" s="121">
        <f>IF(B11="","",IF(OR(P11="",Q11="",P11="-",Q11="-"),"",P11-Q11))</f>
        <v>9.6999999999999993</v>
      </c>
      <c r="S11" s="10">
        <v>1.74</v>
      </c>
      <c r="W11" s="1"/>
      <c r="X11" s="1"/>
      <c r="Y11" s="1"/>
    </row>
    <row r="12" spans="2:25" ht="16.5" x14ac:dyDescent="0.3">
      <c r="B12" s="4">
        <v>2</v>
      </c>
      <c r="C12" s="5">
        <f t="shared" ref="C12:C24" si="2">IF(B12="","",C11+1.5)</f>
        <v>3</v>
      </c>
      <c r="D12" s="6">
        <v>3</v>
      </c>
      <c r="E12" s="6">
        <v>3</v>
      </c>
      <c r="F12" s="6">
        <v>2</v>
      </c>
      <c r="G12" s="25">
        <f t="shared" si="0"/>
        <v>5</v>
      </c>
      <c r="H12" s="7" t="s">
        <v>84</v>
      </c>
      <c r="I12" s="123" t="str">
        <f t="shared" ref="I12:I29" si="3">IF(H12="","",VLOOKUP(H12,$W$11:$X$25,2,FALSE))</f>
        <v>Yüksek Plastisiteli Kil</v>
      </c>
      <c r="J12" s="124"/>
      <c r="L12" s="4">
        <f t="shared" si="1"/>
        <v>2</v>
      </c>
      <c r="M12" s="10">
        <v>20.100000000000001</v>
      </c>
      <c r="N12" s="10" t="s">
        <v>83</v>
      </c>
      <c r="O12" s="19">
        <v>62.2</v>
      </c>
      <c r="P12" s="22">
        <v>38.1</v>
      </c>
      <c r="Q12" s="22">
        <v>20.399999999999999</v>
      </c>
      <c r="R12" s="121">
        <f t="shared" ref="R12:R29" si="4">IF(B12="","",IF(OR(P12="",Q12="",P12="-",Q12="-"),"",P12-Q12))</f>
        <v>17.700000000000003</v>
      </c>
      <c r="S12" s="10">
        <v>1.85</v>
      </c>
      <c r="W12" s="1" t="s">
        <v>20</v>
      </c>
      <c r="X12" s="1" t="s">
        <v>21</v>
      </c>
      <c r="Y12" s="1"/>
    </row>
    <row r="13" spans="2:25" ht="16.5" x14ac:dyDescent="0.3">
      <c r="B13" s="4">
        <v>3</v>
      </c>
      <c r="C13" s="5">
        <f t="shared" si="2"/>
        <v>4.5</v>
      </c>
      <c r="D13" s="6">
        <v>3</v>
      </c>
      <c r="E13" s="6">
        <v>6</v>
      </c>
      <c r="F13" s="6">
        <v>10</v>
      </c>
      <c r="G13" s="25">
        <f t="shared" si="0"/>
        <v>16</v>
      </c>
      <c r="H13" s="7" t="s">
        <v>75</v>
      </c>
      <c r="I13" s="123" t="str">
        <f t="shared" si="3"/>
        <v>Orta Plastisiteli Kil</v>
      </c>
      <c r="J13" s="124"/>
      <c r="L13" s="4">
        <f t="shared" si="1"/>
        <v>2</v>
      </c>
      <c r="M13" s="10">
        <v>20.7</v>
      </c>
      <c r="N13" s="10" t="s">
        <v>83</v>
      </c>
      <c r="O13" s="19">
        <v>68.5</v>
      </c>
      <c r="P13" s="22">
        <v>38.200000000000003</v>
      </c>
      <c r="Q13" s="22">
        <v>20.399999999999999</v>
      </c>
      <c r="R13" s="121">
        <f t="shared" si="4"/>
        <v>17.800000000000004</v>
      </c>
      <c r="S13" s="10">
        <v>1.83</v>
      </c>
      <c r="W13" s="1" t="s">
        <v>19</v>
      </c>
      <c r="X13" s="1" t="s">
        <v>22</v>
      </c>
      <c r="Y13" s="1"/>
    </row>
    <row r="14" spans="2:25" ht="16.5" x14ac:dyDescent="0.3">
      <c r="B14" s="4">
        <v>4</v>
      </c>
      <c r="C14" s="5">
        <f t="shared" si="2"/>
        <v>6</v>
      </c>
      <c r="D14" s="6">
        <v>5</v>
      </c>
      <c r="E14" s="6">
        <v>6</v>
      </c>
      <c r="F14" s="6">
        <v>7</v>
      </c>
      <c r="G14" s="25">
        <f t="shared" si="0"/>
        <v>13</v>
      </c>
      <c r="H14" s="7" t="s">
        <v>15</v>
      </c>
      <c r="I14" s="123" t="str">
        <f t="shared" si="3"/>
        <v>Siltli Kumlu Zemin</v>
      </c>
      <c r="J14" s="124"/>
      <c r="L14" s="4">
        <f t="shared" si="1"/>
        <v>2</v>
      </c>
      <c r="M14" s="10">
        <v>21.2</v>
      </c>
      <c r="N14" s="10" t="s">
        <v>83</v>
      </c>
      <c r="O14" s="19">
        <v>38.1</v>
      </c>
      <c r="P14" s="22"/>
      <c r="Q14" s="22"/>
      <c r="R14" s="121" t="str">
        <f t="shared" si="4"/>
        <v/>
      </c>
      <c r="S14" s="10">
        <v>1.63</v>
      </c>
      <c r="W14" s="1" t="s">
        <v>11</v>
      </c>
      <c r="X14" s="1" t="s">
        <v>23</v>
      </c>
      <c r="Y14" s="1"/>
    </row>
    <row r="15" spans="2:25" ht="16.5" x14ac:dyDescent="0.3">
      <c r="B15" s="4">
        <v>5</v>
      </c>
      <c r="C15" s="5">
        <f t="shared" si="2"/>
        <v>7.5</v>
      </c>
      <c r="D15" s="6">
        <v>5</v>
      </c>
      <c r="E15" s="6">
        <v>5</v>
      </c>
      <c r="F15" s="6">
        <v>6</v>
      </c>
      <c r="G15" s="25">
        <f t="shared" si="0"/>
        <v>11</v>
      </c>
      <c r="H15" s="7" t="s">
        <v>75</v>
      </c>
      <c r="I15" s="123" t="str">
        <f t="shared" si="3"/>
        <v>Orta Plastisiteli Kil</v>
      </c>
      <c r="J15" s="124"/>
      <c r="L15" s="4">
        <f t="shared" si="1"/>
        <v>2</v>
      </c>
      <c r="M15" s="10">
        <v>20.8</v>
      </c>
      <c r="N15" s="10" t="s">
        <v>83</v>
      </c>
      <c r="O15" s="19">
        <v>65.400000000000006</v>
      </c>
      <c r="P15" s="22">
        <v>37.5</v>
      </c>
      <c r="Q15" s="22">
        <v>20.5</v>
      </c>
      <c r="R15" s="121">
        <f t="shared" si="4"/>
        <v>17</v>
      </c>
      <c r="S15" s="10">
        <v>1.86</v>
      </c>
      <c r="W15" s="1" t="s">
        <v>12</v>
      </c>
      <c r="X15" s="1" t="s">
        <v>24</v>
      </c>
      <c r="Y15" s="1"/>
    </row>
    <row r="16" spans="2:25" ht="16.5" x14ac:dyDescent="0.3">
      <c r="B16" s="4">
        <v>6</v>
      </c>
      <c r="C16" s="5">
        <f t="shared" si="2"/>
        <v>9</v>
      </c>
      <c r="D16" s="6">
        <v>6</v>
      </c>
      <c r="E16" s="6">
        <v>7</v>
      </c>
      <c r="F16" s="6">
        <v>5</v>
      </c>
      <c r="G16" s="25">
        <f t="shared" si="0"/>
        <v>12</v>
      </c>
      <c r="H16" s="7" t="s">
        <v>9</v>
      </c>
      <c r="I16" s="123" t="str">
        <f t="shared" si="3"/>
        <v>Düşük Plastisiteli Kil</v>
      </c>
      <c r="J16" s="124"/>
      <c r="L16" s="4">
        <f t="shared" si="1"/>
        <v>2</v>
      </c>
      <c r="M16" s="10">
        <v>19.7</v>
      </c>
      <c r="N16" s="10" t="s">
        <v>83</v>
      </c>
      <c r="O16" s="19">
        <v>67.8</v>
      </c>
      <c r="P16" s="22">
        <v>29.9</v>
      </c>
      <c r="Q16" s="22">
        <v>20.7</v>
      </c>
      <c r="R16" s="121">
        <f t="shared" si="4"/>
        <v>9.1999999999999993</v>
      </c>
      <c r="S16" s="10">
        <v>1.79</v>
      </c>
      <c r="W16" s="1" t="s">
        <v>13</v>
      </c>
      <c r="X16" s="1" t="s">
        <v>25</v>
      </c>
      <c r="Y16" s="1"/>
    </row>
    <row r="17" spans="2:25" ht="16.5" x14ac:dyDescent="0.3">
      <c r="B17" s="4">
        <v>7</v>
      </c>
      <c r="C17" s="5">
        <f t="shared" si="2"/>
        <v>10.5</v>
      </c>
      <c r="D17" s="6">
        <v>4</v>
      </c>
      <c r="E17" s="6">
        <v>4</v>
      </c>
      <c r="F17" s="6">
        <v>3</v>
      </c>
      <c r="G17" s="25">
        <f t="shared" si="0"/>
        <v>7</v>
      </c>
      <c r="H17" s="7" t="s">
        <v>75</v>
      </c>
      <c r="I17" s="123" t="str">
        <f t="shared" si="3"/>
        <v>Orta Plastisiteli Kil</v>
      </c>
      <c r="J17" s="124"/>
      <c r="L17" s="4">
        <f t="shared" si="1"/>
        <v>2</v>
      </c>
      <c r="M17" s="10">
        <v>21.8</v>
      </c>
      <c r="N17" s="10" t="s">
        <v>83</v>
      </c>
      <c r="O17" s="19">
        <v>63.9</v>
      </c>
      <c r="P17" s="22">
        <v>38.700000000000003</v>
      </c>
      <c r="Q17" s="22">
        <v>20.399999999999999</v>
      </c>
      <c r="R17" s="121">
        <f t="shared" si="4"/>
        <v>18.300000000000004</v>
      </c>
      <c r="S17" s="10">
        <v>1.86</v>
      </c>
      <c r="W17" s="1" t="s">
        <v>14</v>
      </c>
      <c r="X17" s="1" t="s">
        <v>26</v>
      </c>
      <c r="Y17" s="1"/>
    </row>
    <row r="18" spans="2:25" ht="16.5" x14ac:dyDescent="0.3">
      <c r="B18" s="4">
        <v>8</v>
      </c>
      <c r="C18" s="5">
        <f t="shared" si="2"/>
        <v>12</v>
      </c>
      <c r="D18" s="6">
        <v>5</v>
      </c>
      <c r="E18" s="6">
        <v>5</v>
      </c>
      <c r="F18" s="6">
        <v>6</v>
      </c>
      <c r="G18" s="25">
        <f t="shared" si="0"/>
        <v>11</v>
      </c>
      <c r="H18" s="7" t="s">
        <v>75</v>
      </c>
      <c r="I18" s="123" t="str">
        <f t="shared" si="3"/>
        <v>Orta Plastisiteli Kil</v>
      </c>
      <c r="J18" s="124"/>
      <c r="L18" s="4">
        <f t="shared" si="1"/>
        <v>2</v>
      </c>
      <c r="M18" s="10">
        <v>22.6</v>
      </c>
      <c r="N18" s="10" t="s">
        <v>83</v>
      </c>
      <c r="O18" s="20">
        <v>67.7</v>
      </c>
      <c r="P18" s="22">
        <v>38.1</v>
      </c>
      <c r="Q18" s="22">
        <v>20</v>
      </c>
      <c r="R18" s="121">
        <f t="shared" si="4"/>
        <v>18.100000000000001</v>
      </c>
      <c r="S18" s="10">
        <v>1.83</v>
      </c>
      <c r="W18" s="1" t="s">
        <v>15</v>
      </c>
      <c r="X18" s="1" t="s">
        <v>27</v>
      </c>
      <c r="Y18" s="1"/>
    </row>
    <row r="19" spans="2:25" ht="16.5" x14ac:dyDescent="0.3">
      <c r="B19" s="4">
        <v>9</v>
      </c>
      <c r="C19" s="5">
        <f t="shared" si="2"/>
        <v>13.5</v>
      </c>
      <c r="D19" s="6">
        <v>15</v>
      </c>
      <c r="E19" s="6">
        <v>15</v>
      </c>
      <c r="F19" s="6">
        <v>20</v>
      </c>
      <c r="G19" s="25">
        <f t="shared" si="0"/>
        <v>35</v>
      </c>
      <c r="H19" s="7" t="s">
        <v>75</v>
      </c>
      <c r="I19" s="123" t="str">
        <f t="shared" si="3"/>
        <v>Orta Plastisiteli Kil</v>
      </c>
      <c r="J19" s="124"/>
      <c r="L19" s="4">
        <f t="shared" si="1"/>
        <v>2</v>
      </c>
      <c r="M19" s="10">
        <v>23.2</v>
      </c>
      <c r="N19" s="10" t="s">
        <v>83</v>
      </c>
      <c r="O19" s="19">
        <v>65.8</v>
      </c>
      <c r="P19" s="22">
        <v>39.5</v>
      </c>
      <c r="Q19" s="22">
        <v>19.399999999999999</v>
      </c>
      <c r="R19" s="121">
        <f t="shared" si="4"/>
        <v>20.100000000000001</v>
      </c>
      <c r="S19" s="10">
        <v>1.85</v>
      </c>
      <c r="W19" s="1" t="s">
        <v>77</v>
      </c>
      <c r="X19" s="1" t="s">
        <v>28</v>
      </c>
      <c r="Y19" s="1"/>
    </row>
    <row r="20" spans="2:25" ht="16.5" x14ac:dyDescent="0.3">
      <c r="B20" s="4">
        <v>10</v>
      </c>
      <c r="C20" s="5">
        <f t="shared" si="2"/>
        <v>15</v>
      </c>
      <c r="D20" s="6">
        <v>3</v>
      </c>
      <c r="E20" s="6">
        <v>4</v>
      </c>
      <c r="F20" s="6">
        <v>5</v>
      </c>
      <c r="G20" s="25">
        <f t="shared" si="0"/>
        <v>9</v>
      </c>
      <c r="H20" s="7" t="s">
        <v>75</v>
      </c>
      <c r="I20" s="123" t="str">
        <f t="shared" si="3"/>
        <v>Orta Plastisiteli Kil</v>
      </c>
      <c r="J20" s="124"/>
      <c r="L20" s="4">
        <f t="shared" si="1"/>
        <v>2</v>
      </c>
      <c r="M20" s="10">
        <v>22.5</v>
      </c>
      <c r="N20" s="10" t="s">
        <v>83</v>
      </c>
      <c r="O20" s="19">
        <v>62.9</v>
      </c>
      <c r="P20" s="22">
        <v>38.200000000000003</v>
      </c>
      <c r="Q20" s="22">
        <v>20.399999999999999</v>
      </c>
      <c r="R20" s="121">
        <f t="shared" si="4"/>
        <v>17.800000000000004</v>
      </c>
      <c r="S20" s="10">
        <v>1.84</v>
      </c>
      <c r="W20" s="1" t="s">
        <v>9</v>
      </c>
      <c r="X20" s="1" t="s">
        <v>29</v>
      </c>
      <c r="Y20" s="1"/>
    </row>
    <row r="21" spans="2:25" ht="16.5" x14ac:dyDescent="0.3">
      <c r="B21" s="4">
        <v>11</v>
      </c>
      <c r="C21" s="5">
        <f t="shared" si="2"/>
        <v>16.5</v>
      </c>
      <c r="D21" s="6">
        <v>4</v>
      </c>
      <c r="E21" s="6">
        <v>4</v>
      </c>
      <c r="F21" s="6">
        <v>5</v>
      </c>
      <c r="G21" s="25">
        <f t="shared" si="0"/>
        <v>9</v>
      </c>
      <c r="H21" s="7" t="s">
        <v>75</v>
      </c>
      <c r="I21" s="123" t="str">
        <f t="shared" si="3"/>
        <v>Orta Plastisiteli Kil</v>
      </c>
      <c r="J21" s="124"/>
      <c r="L21" s="4">
        <f t="shared" si="1"/>
        <v>2</v>
      </c>
      <c r="M21" s="10">
        <v>23.2</v>
      </c>
      <c r="N21" s="10" t="s">
        <v>83</v>
      </c>
      <c r="O21" s="19">
        <v>69.400000000000006</v>
      </c>
      <c r="P21" s="22">
        <v>39.6</v>
      </c>
      <c r="Q21" s="22">
        <v>19.7</v>
      </c>
      <c r="R21" s="121">
        <f t="shared" si="4"/>
        <v>19.900000000000002</v>
      </c>
      <c r="S21" s="10">
        <v>1.86</v>
      </c>
      <c r="W21" s="1" t="s">
        <v>75</v>
      </c>
      <c r="X21" s="1" t="s">
        <v>76</v>
      </c>
      <c r="Y21" s="1"/>
    </row>
    <row r="22" spans="2:25" ht="16.5" x14ac:dyDescent="0.3">
      <c r="B22" s="4">
        <v>12</v>
      </c>
      <c r="C22" s="5">
        <f t="shared" si="2"/>
        <v>18</v>
      </c>
      <c r="D22" s="6">
        <v>12</v>
      </c>
      <c r="E22" s="6">
        <v>9</v>
      </c>
      <c r="F22" s="6">
        <v>13</v>
      </c>
      <c r="G22" s="25">
        <f t="shared" si="0"/>
        <v>22</v>
      </c>
      <c r="H22" s="7" t="s">
        <v>75</v>
      </c>
      <c r="I22" s="123" t="str">
        <f t="shared" si="3"/>
        <v>Orta Plastisiteli Kil</v>
      </c>
      <c r="J22" s="124"/>
      <c r="L22" s="4">
        <f t="shared" si="1"/>
        <v>2</v>
      </c>
      <c r="M22" s="10">
        <v>22.4</v>
      </c>
      <c r="N22" s="10" t="s">
        <v>83</v>
      </c>
      <c r="O22" s="19">
        <v>60.1</v>
      </c>
      <c r="P22" s="22">
        <v>38.1</v>
      </c>
      <c r="Q22" s="22">
        <v>20.399999999999999</v>
      </c>
      <c r="R22" s="121">
        <f t="shared" si="4"/>
        <v>17.700000000000003</v>
      </c>
      <c r="S22" s="10">
        <v>1.87</v>
      </c>
      <c r="W22" s="1" t="s">
        <v>84</v>
      </c>
      <c r="X22" s="1" t="s">
        <v>30</v>
      </c>
      <c r="Y22" s="1"/>
    </row>
    <row r="23" spans="2:25" ht="16.5" x14ac:dyDescent="0.3">
      <c r="B23" s="4">
        <v>13</v>
      </c>
      <c r="C23" s="5">
        <f t="shared" si="2"/>
        <v>19.5</v>
      </c>
      <c r="D23" s="6">
        <v>11</v>
      </c>
      <c r="E23" s="6">
        <v>11</v>
      </c>
      <c r="F23" s="6">
        <v>14</v>
      </c>
      <c r="G23" s="25">
        <f t="shared" si="0"/>
        <v>25</v>
      </c>
      <c r="H23" s="7" t="s">
        <v>75</v>
      </c>
      <c r="I23" s="123" t="str">
        <f t="shared" si="3"/>
        <v>Orta Plastisiteli Kil</v>
      </c>
      <c r="J23" s="124"/>
      <c r="L23" s="4">
        <f t="shared" si="1"/>
        <v>2</v>
      </c>
      <c r="M23" s="10">
        <v>23.5</v>
      </c>
      <c r="N23" s="10" t="s">
        <v>83</v>
      </c>
      <c r="O23" s="19">
        <v>69.2</v>
      </c>
      <c r="P23" s="22">
        <v>37.5</v>
      </c>
      <c r="Q23" s="22">
        <v>20.399999999999999</v>
      </c>
      <c r="R23" s="121">
        <f t="shared" si="4"/>
        <v>17.100000000000001</v>
      </c>
      <c r="S23" s="10">
        <v>1.85</v>
      </c>
      <c r="W23" s="1" t="s">
        <v>16</v>
      </c>
      <c r="X23" s="1" t="s">
        <v>31</v>
      </c>
      <c r="Y23" s="1"/>
    </row>
    <row r="24" spans="2:25" ht="16.5" x14ac:dyDescent="0.3">
      <c r="B24" s="4"/>
      <c r="C24" s="5" t="str">
        <f t="shared" si="2"/>
        <v/>
      </c>
      <c r="D24" s="8"/>
      <c r="E24" s="8"/>
      <c r="F24" s="8"/>
      <c r="G24" s="6" t="str">
        <f t="shared" si="0"/>
        <v/>
      </c>
      <c r="H24" s="9"/>
      <c r="I24" s="123" t="str">
        <f t="shared" si="3"/>
        <v/>
      </c>
      <c r="J24" s="124"/>
      <c r="L24" s="4" t="str">
        <f t="shared" si="1"/>
        <v xml:space="preserve"> </v>
      </c>
      <c r="M24" s="24"/>
      <c r="N24" s="24"/>
      <c r="O24" s="24"/>
      <c r="P24" s="24"/>
      <c r="Q24" s="24"/>
      <c r="R24" s="121" t="str">
        <f t="shared" si="4"/>
        <v/>
      </c>
      <c r="S24" s="24"/>
      <c r="W24" s="1" t="s">
        <v>17</v>
      </c>
      <c r="X24" s="1" t="s">
        <v>32</v>
      </c>
      <c r="Y24" s="1"/>
    </row>
    <row r="25" spans="2:25" ht="16.5" x14ac:dyDescent="0.3">
      <c r="B25" s="4"/>
      <c r="C25" s="5"/>
      <c r="D25" s="8"/>
      <c r="E25" s="8"/>
      <c r="F25" s="8"/>
      <c r="G25" s="6" t="str">
        <f t="shared" si="0"/>
        <v/>
      </c>
      <c r="H25" s="9"/>
      <c r="I25" s="123" t="str">
        <f t="shared" si="3"/>
        <v/>
      </c>
      <c r="J25" s="124"/>
      <c r="L25" s="4" t="str">
        <f t="shared" si="1"/>
        <v xml:space="preserve"> </v>
      </c>
      <c r="M25" s="24"/>
      <c r="N25" s="24"/>
      <c r="O25" s="24"/>
      <c r="P25" s="24"/>
      <c r="Q25" s="24"/>
      <c r="R25" s="121" t="str">
        <f t="shared" si="4"/>
        <v/>
      </c>
      <c r="S25" s="24"/>
      <c r="W25" s="1" t="s">
        <v>18</v>
      </c>
      <c r="X25" s="1" t="s">
        <v>33</v>
      </c>
      <c r="Y25" s="1"/>
    </row>
    <row r="26" spans="2:25" ht="16.5" x14ac:dyDescent="0.3">
      <c r="B26" s="4"/>
      <c r="C26" s="5"/>
      <c r="D26" s="8"/>
      <c r="E26" s="8"/>
      <c r="F26" s="8"/>
      <c r="G26" s="6" t="str">
        <f t="shared" si="0"/>
        <v/>
      </c>
      <c r="H26" s="9"/>
      <c r="I26" s="123" t="str">
        <f t="shared" si="3"/>
        <v/>
      </c>
      <c r="J26" s="124"/>
      <c r="L26" s="4" t="str">
        <f t="shared" si="1"/>
        <v xml:space="preserve"> </v>
      </c>
      <c r="M26" s="24"/>
      <c r="N26" s="24"/>
      <c r="O26" s="24"/>
      <c r="P26" s="24"/>
      <c r="Q26" s="24"/>
      <c r="R26" s="121" t="str">
        <f t="shared" si="4"/>
        <v/>
      </c>
      <c r="S26" s="24"/>
    </row>
    <row r="27" spans="2:25" ht="16.5" x14ac:dyDescent="0.3">
      <c r="B27" s="4"/>
      <c r="C27" s="5"/>
      <c r="D27" s="8"/>
      <c r="E27" s="8"/>
      <c r="F27" s="8"/>
      <c r="G27" s="6" t="str">
        <f t="shared" si="0"/>
        <v/>
      </c>
      <c r="H27" s="9"/>
      <c r="I27" s="123" t="str">
        <f t="shared" si="3"/>
        <v/>
      </c>
      <c r="J27" s="124"/>
      <c r="L27" s="4" t="str">
        <f t="shared" si="1"/>
        <v xml:space="preserve"> </v>
      </c>
      <c r="M27" s="24"/>
      <c r="N27" s="24"/>
      <c r="O27" s="24"/>
      <c r="P27" s="24"/>
      <c r="Q27" s="24"/>
      <c r="R27" s="121" t="str">
        <f t="shared" si="4"/>
        <v/>
      </c>
      <c r="S27" s="24"/>
    </row>
    <row r="28" spans="2:25" ht="16.5" x14ac:dyDescent="0.25">
      <c r="B28" s="4"/>
      <c r="C28" s="5"/>
      <c r="D28" s="10"/>
      <c r="E28" s="10"/>
      <c r="F28" s="10"/>
      <c r="G28" s="6" t="str">
        <f t="shared" si="0"/>
        <v/>
      </c>
      <c r="H28" s="11"/>
      <c r="I28" s="123" t="str">
        <f t="shared" si="3"/>
        <v/>
      </c>
      <c r="J28" s="124"/>
      <c r="L28" s="4" t="str">
        <f t="shared" si="1"/>
        <v xml:space="preserve"> </v>
      </c>
      <c r="M28" s="24"/>
      <c r="N28" s="24"/>
      <c r="O28" s="24"/>
      <c r="P28" s="24"/>
      <c r="Q28" s="24"/>
      <c r="R28" s="121" t="str">
        <f t="shared" si="4"/>
        <v/>
      </c>
      <c r="S28" s="24"/>
    </row>
    <row r="29" spans="2:25" ht="16.5" x14ac:dyDescent="0.25">
      <c r="B29" s="4"/>
      <c r="C29" s="5"/>
      <c r="D29" s="10"/>
      <c r="E29" s="10"/>
      <c r="F29" s="10"/>
      <c r="G29" s="6" t="str">
        <f t="shared" si="0"/>
        <v/>
      </c>
      <c r="H29" s="11"/>
      <c r="I29" s="123" t="str">
        <f t="shared" si="3"/>
        <v/>
      </c>
      <c r="J29" s="124"/>
      <c r="L29" s="4" t="str">
        <f t="shared" si="1"/>
        <v xml:space="preserve"> </v>
      </c>
      <c r="M29" s="24"/>
      <c r="N29" s="24"/>
      <c r="O29" s="24"/>
      <c r="P29" s="24"/>
      <c r="Q29" s="24"/>
      <c r="R29" s="121" t="str">
        <f t="shared" si="4"/>
        <v/>
      </c>
      <c r="S29" s="24"/>
    </row>
    <row r="33" spans="2:2" x14ac:dyDescent="0.25">
      <c r="B33" t="s">
        <v>152</v>
      </c>
    </row>
  </sheetData>
  <mergeCells count="24">
    <mergeCell ref="I17:J17"/>
    <mergeCell ref="B4:C4"/>
    <mergeCell ref="B8:D9"/>
    <mergeCell ref="E8:F8"/>
    <mergeCell ref="E9:F9"/>
    <mergeCell ref="I10:J10"/>
    <mergeCell ref="I11:J11"/>
    <mergeCell ref="I12:J12"/>
    <mergeCell ref="I13:J13"/>
    <mergeCell ref="I14:J14"/>
    <mergeCell ref="I15:J15"/>
    <mergeCell ref="I16:J16"/>
    <mergeCell ref="I29:J29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</mergeCells>
  <dataValidations count="1">
    <dataValidation type="list" allowBlank="1" showInputMessage="1" showErrorMessage="1" sqref="H11:H29" xr:uid="{4ADD37CC-83CC-4F75-BB14-83C6F3818E17}">
      <formula1>$W$11:$W$25</formula1>
    </dataValidation>
  </dataValidations>
  <pageMargins left="0.7" right="0.7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72"/>
  <sheetViews>
    <sheetView showZeros="0" topLeftCell="A5" zoomScaleNormal="100" zoomScaleSheetLayoutView="115" zoomScalePageLayoutView="55" workbookViewId="0">
      <selection activeCell="O12" sqref="O12"/>
    </sheetView>
  </sheetViews>
  <sheetFormatPr defaultColWidth="9.140625" defaultRowHeight="15" x14ac:dyDescent="0.25"/>
  <cols>
    <col min="1" max="1" width="6" style="28" customWidth="1"/>
    <col min="2" max="2" width="10.140625" style="28" customWidth="1"/>
    <col min="3" max="3" width="9.140625" style="28"/>
    <col min="4" max="8" width="8.140625" style="28" customWidth="1"/>
    <col min="9" max="9" width="8.7109375" style="28" customWidth="1"/>
    <col min="10" max="10" width="9.28515625" style="28" customWidth="1"/>
    <col min="11" max="11" width="8.140625" style="28" customWidth="1"/>
    <col min="12" max="13" width="9.140625" style="28"/>
    <col min="14" max="14" width="9" style="28" customWidth="1"/>
    <col min="15" max="15" width="7.42578125" style="28" customWidth="1"/>
    <col min="16" max="16" width="8.140625" style="28" customWidth="1"/>
    <col min="17" max="19" width="7.140625" style="28" customWidth="1"/>
    <col min="20" max="20" width="7.5703125" style="28" customWidth="1"/>
    <col min="21" max="21" width="8.140625" style="28" customWidth="1"/>
    <col min="22" max="23" width="8.5703125" style="28" customWidth="1"/>
    <col min="24" max="25" width="7.28515625" style="28" customWidth="1"/>
    <col min="26" max="26" width="18.42578125" style="28" customWidth="1"/>
    <col min="27" max="27" width="17.85546875" style="28" customWidth="1"/>
    <col min="28" max="28" width="9.140625" style="28"/>
    <col min="29" max="29" width="9.140625" style="28" customWidth="1"/>
    <col min="30" max="30" width="19.7109375" style="28" customWidth="1"/>
    <col min="31" max="16384" width="9.140625" style="28"/>
  </cols>
  <sheetData>
    <row r="1" spans="2:31" ht="54.75" customHeight="1" x14ac:dyDescent="0.25">
      <c r="E1" s="59"/>
      <c r="F1" s="59"/>
      <c r="G1" s="59"/>
    </row>
    <row r="2" spans="2:31" ht="18.75" x14ac:dyDescent="0.35">
      <c r="B2" s="132" t="s">
        <v>140</v>
      </c>
      <c r="C2" s="132"/>
      <c r="D2" s="58">
        <f>SK!D4</f>
        <v>134.69999999999999</v>
      </c>
      <c r="E2" s="59" t="s">
        <v>0</v>
      </c>
      <c r="F2" s="59"/>
      <c r="G2" s="59"/>
      <c r="H2" s="100"/>
      <c r="I2" s="100"/>
      <c r="J2" s="106" t="s">
        <v>42</v>
      </c>
      <c r="K2" s="58">
        <f>SK!K4</f>
        <v>7</v>
      </c>
      <c r="L2" s="100"/>
      <c r="M2" s="106" t="s">
        <v>137</v>
      </c>
      <c r="N2" s="58">
        <f>SK!N4</f>
        <v>1</v>
      </c>
    </row>
    <row r="3" spans="2:31" ht="18.75" x14ac:dyDescent="0.35">
      <c r="B3" s="100"/>
      <c r="C3" s="106" t="s">
        <v>40</v>
      </c>
      <c r="D3" s="58">
        <f>SK!D5</f>
        <v>0.81</v>
      </c>
      <c r="E3" s="59"/>
      <c r="F3" s="59"/>
      <c r="G3" s="59"/>
      <c r="H3" s="100"/>
      <c r="I3" s="100"/>
      <c r="J3" s="106" t="str">
        <f>CONCATENATE("CM ",  K2," = ")</f>
        <v xml:space="preserve">CM 7 = </v>
      </c>
      <c r="K3" s="107">
        <f>((10^2.24)/(K2^2.56))</f>
        <v>1.192748880379199</v>
      </c>
      <c r="L3" s="100"/>
      <c r="M3" s="106" t="s">
        <v>138</v>
      </c>
      <c r="N3" s="58">
        <f>SK!N5</f>
        <v>1</v>
      </c>
    </row>
    <row r="4" spans="2:31" ht="18.75" x14ac:dyDescent="0.35">
      <c r="B4" s="100"/>
      <c r="C4" s="100"/>
      <c r="D4" s="100"/>
      <c r="E4" s="59"/>
      <c r="F4" s="59"/>
      <c r="G4" s="59"/>
      <c r="H4" s="100"/>
      <c r="I4" s="100"/>
      <c r="J4" s="100"/>
      <c r="K4" s="100"/>
      <c r="L4" s="100"/>
      <c r="M4" s="106" t="s">
        <v>139</v>
      </c>
      <c r="N4" s="58">
        <f>SK!N6</f>
        <v>1.1000000000000001</v>
      </c>
    </row>
    <row r="6" spans="2:31" ht="15.75" x14ac:dyDescent="0.25">
      <c r="B6" s="135" t="str">
        <f>SK!B8</f>
        <v>A BLOK SK-1</v>
      </c>
      <c r="C6" s="135"/>
      <c r="D6" s="135"/>
      <c r="E6" s="132" t="s">
        <v>36</v>
      </c>
      <c r="F6" s="132"/>
      <c r="G6" s="100"/>
      <c r="H6" s="100" t="s">
        <v>34</v>
      </c>
      <c r="I6" s="100" t="s">
        <v>35</v>
      </c>
      <c r="J6" s="100"/>
      <c r="AA6" s="137" t="s">
        <v>74</v>
      </c>
      <c r="AB6"/>
      <c r="AC6"/>
      <c r="AD6"/>
      <c r="AE6"/>
    </row>
    <row r="7" spans="2:31" ht="15.75" customHeight="1" x14ac:dyDescent="0.25">
      <c r="B7" s="135"/>
      <c r="C7" s="135"/>
      <c r="D7" s="135"/>
      <c r="E7" s="136">
        <f>SK!E9</f>
        <v>20</v>
      </c>
      <c r="F7" s="136"/>
      <c r="G7" s="100"/>
      <c r="H7" s="109">
        <f>SK!H9</f>
        <v>2</v>
      </c>
      <c r="I7" s="109">
        <f>SK!I9</f>
        <v>1.5</v>
      </c>
      <c r="J7" s="109"/>
      <c r="AA7" s="137"/>
      <c r="AB7"/>
      <c r="AC7"/>
      <c r="AD7"/>
      <c r="AE7"/>
    </row>
    <row r="8" spans="2:31" ht="87.75" customHeight="1" x14ac:dyDescent="0.45">
      <c r="B8" s="33" t="s">
        <v>3</v>
      </c>
      <c r="C8" s="33" t="s">
        <v>4</v>
      </c>
      <c r="D8" s="33" t="s">
        <v>142</v>
      </c>
      <c r="E8" s="33" t="s">
        <v>143</v>
      </c>
      <c r="F8" s="33" t="s">
        <v>144</v>
      </c>
      <c r="G8" s="66" t="s">
        <v>122</v>
      </c>
      <c r="H8" s="65" t="s">
        <v>2</v>
      </c>
      <c r="I8" s="133" t="s">
        <v>10</v>
      </c>
      <c r="J8" s="134"/>
      <c r="K8" s="33" t="s">
        <v>1</v>
      </c>
      <c r="L8" s="33" t="s">
        <v>37</v>
      </c>
      <c r="M8" s="33" t="s">
        <v>39</v>
      </c>
      <c r="N8" s="33" t="s">
        <v>38</v>
      </c>
      <c r="O8" s="72" t="s">
        <v>53</v>
      </c>
      <c r="P8" s="72" t="s">
        <v>54</v>
      </c>
      <c r="Q8" s="33" t="s">
        <v>55</v>
      </c>
      <c r="R8" s="33" t="s">
        <v>107</v>
      </c>
      <c r="S8" s="65" t="s">
        <v>145</v>
      </c>
      <c r="T8" s="65" t="s">
        <v>146</v>
      </c>
      <c r="U8" s="65" t="s">
        <v>147</v>
      </c>
      <c r="V8" s="110" t="s">
        <v>148</v>
      </c>
      <c r="W8" s="33" t="s">
        <v>4</v>
      </c>
      <c r="AA8" s="90" t="s">
        <v>149</v>
      </c>
      <c r="AB8"/>
      <c r="AC8"/>
      <c r="AD8"/>
      <c r="AE8"/>
    </row>
    <row r="9" spans="2:31" ht="16.5" customHeight="1" x14ac:dyDescent="0.25">
      <c r="B9" s="43">
        <f>SK!B11</f>
        <v>1</v>
      </c>
      <c r="C9" s="44">
        <f>SK!C11</f>
        <v>1.5</v>
      </c>
      <c r="D9" s="73">
        <f>SK!D11</f>
        <v>9</v>
      </c>
      <c r="E9" s="73">
        <f>SK!E11</f>
        <v>9</v>
      </c>
      <c r="F9" s="73">
        <f>SK!F11</f>
        <v>13</v>
      </c>
      <c r="G9" s="73">
        <f>SK!G11</f>
        <v>22</v>
      </c>
      <c r="H9" s="73" t="str">
        <f>SK!H11</f>
        <v>ciSa</v>
      </c>
      <c r="I9" s="130" t="str">
        <f>SK!I11</f>
        <v>Killi Kumlu Zemin</v>
      </c>
      <c r="J9" s="131"/>
      <c r="K9" s="43">
        <f>SK!L11</f>
        <v>2</v>
      </c>
      <c r="L9" s="114">
        <f>SK!M11</f>
        <v>19.2</v>
      </c>
      <c r="M9" s="114" t="str">
        <f>SK!N11</f>
        <v>-</v>
      </c>
      <c r="N9" s="114">
        <f>SK!O11</f>
        <v>63.2</v>
      </c>
      <c r="O9" s="114">
        <f>SK!P11</f>
        <v>29.4</v>
      </c>
      <c r="P9" s="114">
        <f>SK!Q11</f>
        <v>19.7</v>
      </c>
      <c r="Q9" s="115">
        <f>SK!R11</f>
        <v>9.6999999999999993</v>
      </c>
      <c r="R9" s="114">
        <f>SK!S11</f>
        <v>1.74</v>
      </c>
      <c r="S9" s="46">
        <f t="shared" ref="S9:S27" si="0">IF(B9="","",R9*9.81)</f>
        <v>17.069400000000002</v>
      </c>
      <c r="T9" s="46">
        <f t="shared" ref="T9:T27" si="1">IF(B9="","",((R9/(1+L9/100))*10))</f>
        <v>14.597315436241612</v>
      </c>
      <c r="U9" s="46">
        <f>IF(B9=0," ",(((2.65*9.81)/T9)-1))</f>
        <v>0.78090965517241373</v>
      </c>
      <c r="V9" s="46">
        <f>IF(B9=0," ",(((2.65+U9)/(1+U9))*9.81))</f>
        <v>18.898894516905155</v>
      </c>
      <c r="W9" s="44">
        <f>IF(B9=0," ",C9)</f>
        <v>1.5</v>
      </c>
      <c r="AA9" s="111">
        <f>0.0000216*O9^2.44</f>
        <v>8.2645885524396459E-2</v>
      </c>
      <c r="AB9"/>
      <c r="AC9"/>
      <c r="AD9"/>
      <c r="AE9"/>
    </row>
    <row r="10" spans="2:31" ht="15.75" x14ac:dyDescent="0.25">
      <c r="B10" s="43">
        <f>SK!B12</f>
        <v>2</v>
      </c>
      <c r="C10" s="44">
        <f>SK!C12</f>
        <v>3</v>
      </c>
      <c r="D10" s="73">
        <f>SK!D12</f>
        <v>3</v>
      </c>
      <c r="E10" s="73">
        <f>SK!E12</f>
        <v>3</v>
      </c>
      <c r="F10" s="73">
        <f>SK!F12</f>
        <v>2</v>
      </c>
      <c r="G10" s="73">
        <f>SK!G12</f>
        <v>5</v>
      </c>
      <c r="H10" s="73" t="str">
        <f>SK!H12</f>
        <v>CIH</v>
      </c>
      <c r="I10" s="130" t="str">
        <f>SK!I12</f>
        <v>Yüksek Plastisiteli Kil</v>
      </c>
      <c r="J10" s="131"/>
      <c r="K10" s="43">
        <f>SK!L12</f>
        <v>2</v>
      </c>
      <c r="L10" s="114">
        <f>SK!M12</f>
        <v>20.100000000000001</v>
      </c>
      <c r="M10" s="114" t="str">
        <f>SK!N12</f>
        <v>-</v>
      </c>
      <c r="N10" s="114">
        <f>SK!O12</f>
        <v>62.2</v>
      </c>
      <c r="O10" s="114">
        <f>SK!P12</f>
        <v>38.1</v>
      </c>
      <c r="P10" s="114">
        <f>SK!Q12</f>
        <v>20.399999999999999</v>
      </c>
      <c r="Q10" s="115">
        <f>SK!R12</f>
        <v>17.700000000000003</v>
      </c>
      <c r="R10" s="114">
        <f>SK!S12</f>
        <v>1.85</v>
      </c>
      <c r="S10" s="46">
        <f t="shared" si="0"/>
        <v>18.148500000000002</v>
      </c>
      <c r="T10" s="46">
        <f t="shared" si="1"/>
        <v>15.40383014154871</v>
      </c>
      <c r="U10" s="46">
        <f t="shared" ref="U10:U27" si="2">IF(B10=0," ",(((2.65*9.81)/T10)-1))</f>
        <v>0.68766467567567569</v>
      </c>
      <c r="V10" s="46">
        <f t="shared" ref="V10:V27" si="3">IF(B10=0," ",(((2.65+U10)/(1+U10))*9.81))</f>
        <v>19.401064050398254</v>
      </c>
      <c r="W10" s="44">
        <f t="shared" ref="W10:W27" si="4">IF(B10=0," ",C10)</f>
        <v>3</v>
      </c>
      <c r="AA10" s="111">
        <f t="shared" ref="AA10:AA21" si="5">0.0000216*O10^2.44</f>
        <v>0.15556456961475473</v>
      </c>
      <c r="AB10"/>
      <c r="AC10"/>
      <c r="AD10"/>
      <c r="AE10"/>
    </row>
    <row r="11" spans="2:31" ht="15.75" x14ac:dyDescent="0.25">
      <c r="B11" s="43">
        <f>SK!B13</f>
        <v>3</v>
      </c>
      <c r="C11" s="44">
        <f>SK!C13</f>
        <v>4.5</v>
      </c>
      <c r="D11" s="73">
        <f>SK!D13</f>
        <v>3</v>
      </c>
      <c r="E11" s="73">
        <f>SK!E13</f>
        <v>6</v>
      </c>
      <c r="F11" s="73">
        <f>SK!F13</f>
        <v>10</v>
      </c>
      <c r="G11" s="73">
        <f>SK!G13</f>
        <v>16</v>
      </c>
      <c r="H11" s="73" t="str">
        <f>SK!H13</f>
        <v>CIM</v>
      </c>
      <c r="I11" s="130" t="str">
        <f>SK!I13</f>
        <v>Orta Plastisiteli Kil</v>
      </c>
      <c r="J11" s="131"/>
      <c r="K11" s="43">
        <f>SK!L13</f>
        <v>2</v>
      </c>
      <c r="L11" s="114">
        <f>SK!M13</f>
        <v>20.7</v>
      </c>
      <c r="M11" s="114" t="str">
        <f>SK!N13</f>
        <v>-</v>
      </c>
      <c r="N11" s="114">
        <f>SK!O13</f>
        <v>68.5</v>
      </c>
      <c r="O11" s="114">
        <f>SK!P13</f>
        <v>38.200000000000003</v>
      </c>
      <c r="P11" s="114">
        <f>SK!Q13</f>
        <v>20.399999999999999</v>
      </c>
      <c r="Q11" s="115">
        <f>SK!R13</f>
        <v>17.800000000000004</v>
      </c>
      <c r="R11" s="114">
        <f>SK!S13</f>
        <v>1.83</v>
      </c>
      <c r="S11" s="46">
        <f t="shared" si="0"/>
        <v>17.952300000000001</v>
      </c>
      <c r="T11" s="46">
        <f t="shared" si="1"/>
        <v>15.161557580778791</v>
      </c>
      <c r="U11" s="46">
        <f t="shared" si="2"/>
        <v>0.71463254098360651</v>
      </c>
      <c r="V11" s="46">
        <f t="shared" si="3"/>
        <v>19.250215097466043</v>
      </c>
      <c r="W11" s="44">
        <f t="shared" si="4"/>
        <v>4.5</v>
      </c>
      <c r="AA11" s="111">
        <f t="shared" si="5"/>
        <v>0.15656271958271917</v>
      </c>
      <c r="AB11"/>
      <c r="AC11"/>
      <c r="AD11"/>
      <c r="AE11"/>
    </row>
    <row r="12" spans="2:31" ht="15.75" x14ac:dyDescent="0.25">
      <c r="B12" s="43">
        <f>SK!B14</f>
        <v>4</v>
      </c>
      <c r="C12" s="44">
        <f>SK!C14</f>
        <v>6</v>
      </c>
      <c r="D12" s="73">
        <f>SK!D14</f>
        <v>5</v>
      </c>
      <c r="E12" s="73">
        <f>SK!E14</f>
        <v>6</v>
      </c>
      <c r="F12" s="73">
        <f>SK!F14</f>
        <v>7</v>
      </c>
      <c r="G12" s="73">
        <f>SK!G14</f>
        <v>13</v>
      </c>
      <c r="H12" s="73" t="str">
        <f>SK!H14</f>
        <v>siSa</v>
      </c>
      <c r="I12" s="130" t="str">
        <f>SK!I14</f>
        <v>Siltli Kumlu Zemin</v>
      </c>
      <c r="J12" s="131"/>
      <c r="K12" s="43">
        <f>SK!L14</f>
        <v>2</v>
      </c>
      <c r="L12" s="114">
        <f>SK!M14</f>
        <v>21.2</v>
      </c>
      <c r="M12" s="114" t="str">
        <f>SK!N14</f>
        <v>-</v>
      </c>
      <c r="N12" s="114">
        <f>SK!O14</f>
        <v>38.1</v>
      </c>
      <c r="O12" s="114">
        <f>SK!P14</f>
        <v>0</v>
      </c>
      <c r="P12" s="114">
        <f>SK!Q14</f>
        <v>0</v>
      </c>
      <c r="Q12" s="115" t="str">
        <f>SK!R14</f>
        <v/>
      </c>
      <c r="R12" s="114">
        <f>SK!S14</f>
        <v>1.63</v>
      </c>
      <c r="S12" s="46">
        <f t="shared" si="0"/>
        <v>15.9903</v>
      </c>
      <c r="T12" s="46">
        <f t="shared" si="1"/>
        <v>13.448844884488448</v>
      </c>
      <c r="U12" s="46">
        <f t="shared" si="2"/>
        <v>0.93299128834355849</v>
      </c>
      <c r="V12" s="46">
        <f t="shared" si="3"/>
        <v>18.18380907902111</v>
      </c>
      <c r="W12" s="44">
        <f t="shared" si="4"/>
        <v>6</v>
      </c>
      <c r="AA12" s="111">
        <f t="shared" si="5"/>
        <v>0</v>
      </c>
      <c r="AB12"/>
      <c r="AC12"/>
      <c r="AD12"/>
      <c r="AE12"/>
    </row>
    <row r="13" spans="2:31" ht="15.75" x14ac:dyDescent="0.25">
      <c r="B13" s="43">
        <f>SK!B15</f>
        <v>5</v>
      </c>
      <c r="C13" s="44">
        <f>SK!C15</f>
        <v>7.5</v>
      </c>
      <c r="D13" s="73">
        <f>SK!D15</f>
        <v>5</v>
      </c>
      <c r="E13" s="73">
        <f>SK!E15</f>
        <v>5</v>
      </c>
      <c r="F13" s="73">
        <f>SK!F15</f>
        <v>6</v>
      </c>
      <c r="G13" s="73">
        <f>SK!G15</f>
        <v>11</v>
      </c>
      <c r="H13" s="73" t="str">
        <f>SK!H15</f>
        <v>CIM</v>
      </c>
      <c r="I13" s="130" t="str">
        <f>SK!I15</f>
        <v>Orta Plastisiteli Kil</v>
      </c>
      <c r="J13" s="131"/>
      <c r="K13" s="43">
        <f>SK!L15</f>
        <v>2</v>
      </c>
      <c r="L13" s="114">
        <f>SK!M15</f>
        <v>20.8</v>
      </c>
      <c r="M13" s="114" t="str">
        <f>SK!N15</f>
        <v>-</v>
      </c>
      <c r="N13" s="114">
        <f>SK!O15</f>
        <v>65.400000000000006</v>
      </c>
      <c r="O13" s="114">
        <f>SK!P15</f>
        <v>37.5</v>
      </c>
      <c r="P13" s="114">
        <f>SK!Q15</f>
        <v>20.5</v>
      </c>
      <c r="Q13" s="115">
        <f>SK!R15</f>
        <v>17</v>
      </c>
      <c r="R13" s="114">
        <f>SK!S15</f>
        <v>1.86</v>
      </c>
      <c r="S13" s="46">
        <f t="shared" si="0"/>
        <v>18.246600000000001</v>
      </c>
      <c r="T13" s="46">
        <f t="shared" si="1"/>
        <v>15.397350993377486</v>
      </c>
      <c r="U13" s="46">
        <f t="shared" si="2"/>
        <v>0.68837483870967708</v>
      </c>
      <c r="V13" s="46">
        <f t="shared" si="3"/>
        <v>19.397029863801077</v>
      </c>
      <c r="W13" s="44">
        <f t="shared" si="4"/>
        <v>7.5</v>
      </c>
      <c r="AA13" s="111">
        <f t="shared" si="5"/>
        <v>0.1496545910139066</v>
      </c>
      <c r="AB13"/>
      <c r="AC13"/>
      <c r="AD13"/>
      <c r="AE13"/>
    </row>
    <row r="14" spans="2:31" ht="15.75" x14ac:dyDescent="0.25">
      <c r="B14" s="43">
        <f>SK!B16</f>
        <v>6</v>
      </c>
      <c r="C14" s="44">
        <f>SK!C16</f>
        <v>9</v>
      </c>
      <c r="D14" s="73">
        <f>SK!D16</f>
        <v>6</v>
      </c>
      <c r="E14" s="73">
        <f>SK!E16</f>
        <v>7</v>
      </c>
      <c r="F14" s="73">
        <f>SK!F16</f>
        <v>5</v>
      </c>
      <c r="G14" s="73">
        <f>SK!G16</f>
        <v>12</v>
      </c>
      <c r="H14" s="73" t="str">
        <f>SK!H16</f>
        <v>CIL</v>
      </c>
      <c r="I14" s="130" t="str">
        <f>SK!I16</f>
        <v>Düşük Plastisiteli Kil</v>
      </c>
      <c r="J14" s="131"/>
      <c r="K14" s="43">
        <f>SK!L16</f>
        <v>2</v>
      </c>
      <c r="L14" s="114">
        <f>SK!M16</f>
        <v>19.7</v>
      </c>
      <c r="M14" s="114" t="str">
        <f>SK!N16</f>
        <v>-</v>
      </c>
      <c r="N14" s="114">
        <f>SK!O16</f>
        <v>67.8</v>
      </c>
      <c r="O14" s="114">
        <f>SK!P16</f>
        <v>29.9</v>
      </c>
      <c r="P14" s="114">
        <f>SK!Q16</f>
        <v>20.7</v>
      </c>
      <c r="Q14" s="115">
        <f>SK!R16</f>
        <v>9.1999999999999993</v>
      </c>
      <c r="R14" s="114">
        <f>SK!S16</f>
        <v>1.79</v>
      </c>
      <c r="S14" s="46">
        <f t="shared" si="0"/>
        <v>17.559900000000003</v>
      </c>
      <c r="T14" s="46">
        <f t="shared" si="1"/>
        <v>14.95405179615706</v>
      </c>
      <c r="U14" s="46">
        <f t="shared" si="2"/>
        <v>0.73842516759776533</v>
      </c>
      <c r="V14" s="46">
        <f t="shared" si="3"/>
        <v>19.121013382512889</v>
      </c>
      <c r="W14" s="44">
        <f t="shared" si="4"/>
        <v>9</v>
      </c>
      <c r="AA14" s="111">
        <f t="shared" si="5"/>
        <v>8.6117507325368062E-2</v>
      </c>
      <c r="AB14"/>
      <c r="AC14"/>
      <c r="AD14"/>
      <c r="AE14"/>
    </row>
    <row r="15" spans="2:31" ht="15.75" x14ac:dyDescent="0.25">
      <c r="B15" s="43">
        <f>SK!B17</f>
        <v>7</v>
      </c>
      <c r="C15" s="44">
        <f>SK!C17</f>
        <v>10.5</v>
      </c>
      <c r="D15" s="73">
        <f>SK!D17</f>
        <v>4</v>
      </c>
      <c r="E15" s="73">
        <f>SK!E17</f>
        <v>4</v>
      </c>
      <c r="F15" s="73">
        <f>SK!F17</f>
        <v>3</v>
      </c>
      <c r="G15" s="73">
        <f>SK!G17</f>
        <v>7</v>
      </c>
      <c r="H15" s="73" t="str">
        <f>SK!H17</f>
        <v>CIM</v>
      </c>
      <c r="I15" s="130" t="str">
        <f>SK!I17</f>
        <v>Orta Plastisiteli Kil</v>
      </c>
      <c r="J15" s="131"/>
      <c r="K15" s="43">
        <f>SK!L17</f>
        <v>2</v>
      </c>
      <c r="L15" s="114">
        <f>SK!M17</f>
        <v>21.8</v>
      </c>
      <c r="M15" s="114" t="str">
        <f>SK!N17</f>
        <v>-</v>
      </c>
      <c r="N15" s="114">
        <f>SK!O17</f>
        <v>63.9</v>
      </c>
      <c r="O15" s="114">
        <f>SK!P17</f>
        <v>38.700000000000003</v>
      </c>
      <c r="P15" s="114">
        <f>SK!Q17</f>
        <v>20.399999999999999</v>
      </c>
      <c r="Q15" s="115">
        <f>SK!R17</f>
        <v>18.300000000000004</v>
      </c>
      <c r="R15" s="114">
        <f>SK!S17</f>
        <v>1.86</v>
      </c>
      <c r="S15" s="46">
        <f t="shared" si="0"/>
        <v>18.246600000000001</v>
      </c>
      <c r="T15" s="46">
        <f t="shared" si="1"/>
        <v>15.270935960591135</v>
      </c>
      <c r="U15" s="46">
        <f t="shared" si="2"/>
        <v>0.70235145161290302</v>
      </c>
      <c r="V15" s="46">
        <f t="shared" si="3"/>
        <v>19.31831861697184</v>
      </c>
      <c r="W15" s="44">
        <f t="shared" si="4"/>
        <v>10.5</v>
      </c>
      <c r="AA15" s="111">
        <f t="shared" si="5"/>
        <v>0.16161010253101232</v>
      </c>
      <c r="AB15"/>
      <c r="AC15"/>
      <c r="AD15"/>
      <c r="AE15"/>
    </row>
    <row r="16" spans="2:31" ht="15.75" x14ac:dyDescent="0.25">
      <c r="B16" s="43">
        <f>SK!B18</f>
        <v>8</v>
      </c>
      <c r="C16" s="44">
        <f>SK!C18</f>
        <v>12</v>
      </c>
      <c r="D16" s="73">
        <f>SK!D18</f>
        <v>5</v>
      </c>
      <c r="E16" s="73">
        <f>SK!E18</f>
        <v>5</v>
      </c>
      <c r="F16" s="73">
        <f>SK!F18</f>
        <v>6</v>
      </c>
      <c r="G16" s="73">
        <f>SK!G18</f>
        <v>11</v>
      </c>
      <c r="H16" s="73" t="str">
        <f>SK!H18</f>
        <v>CIM</v>
      </c>
      <c r="I16" s="130" t="str">
        <f>SK!I18</f>
        <v>Orta Plastisiteli Kil</v>
      </c>
      <c r="J16" s="131"/>
      <c r="K16" s="43">
        <f>SK!L18</f>
        <v>2</v>
      </c>
      <c r="L16" s="114">
        <f>SK!M18</f>
        <v>22.6</v>
      </c>
      <c r="M16" s="114" t="str">
        <f>SK!N18</f>
        <v>-</v>
      </c>
      <c r="N16" s="114">
        <f>SK!O18</f>
        <v>67.7</v>
      </c>
      <c r="O16" s="114">
        <f>SK!P18</f>
        <v>38.1</v>
      </c>
      <c r="P16" s="114">
        <f>SK!Q18</f>
        <v>20</v>
      </c>
      <c r="Q16" s="115">
        <f>SK!R18</f>
        <v>18.100000000000001</v>
      </c>
      <c r="R16" s="114">
        <f>SK!S18</f>
        <v>1.83</v>
      </c>
      <c r="S16" s="46">
        <f t="shared" si="0"/>
        <v>17.952300000000001</v>
      </c>
      <c r="T16" s="46">
        <f t="shared" si="1"/>
        <v>14.926590538336054</v>
      </c>
      <c r="U16" s="46">
        <f t="shared" si="2"/>
        <v>0.74162344262295066</v>
      </c>
      <c r="V16" s="46">
        <f t="shared" si="3"/>
        <v>19.10391486349226</v>
      </c>
      <c r="W16" s="44">
        <f t="shared" si="4"/>
        <v>12</v>
      </c>
      <c r="AA16" s="111">
        <f t="shared" si="5"/>
        <v>0.15556456961475473</v>
      </c>
      <c r="AB16"/>
      <c r="AC16"/>
      <c r="AD16"/>
      <c r="AE16"/>
    </row>
    <row r="17" spans="2:31" ht="15.75" x14ac:dyDescent="0.25">
      <c r="B17" s="43">
        <f>SK!B19</f>
        <v>9</v>
      </c>
      <c r="C17" s="44">
        <f>SK!C19</f>
        <v>13.5</v>
      </c>
      <c r="D17" s="73">
        <f>SK!D19</f>
        <v>15</v>
      </c>
      <c r="E17" s="73">
        <f>SK!E19</f>
        <v>15</v>
      </c>
      <c r="F17" s="73">
        <f>SK!F19</f>
        <v>20</v>
      </c>
      <c r="G17" s="73">
        <f>SK!G19</f>
        <v>35</v>
      </c>
      <c r="H17" s="73" t="str">
        <f>SK!H19</f>
        <v>CIM</v>
      </c>
      <c r="I17" s="130" t="str">
        <f>SK!I19</f>
        <v>Orta Plastisiteli Kil</v>
      </c>
      <c r="J17" s="131"/>
      <c r="K17" s="43">
        <f>SK!L19</f>
        <v>2</v>
      </c>
      <c r="L17" s="114">
        <f>SK!M19</f>
        <v>23.2</v>
      </c>
      <c r="M17" s="114" t="str">
        <f>SK!N19</f>
        <v>-</v>
      </c>
      <c r="N17" s="114">
        <f>SK!O19</f>
        <v>65.8</v>
      </c>
      <c r="O17" s="114">
        <f>SK!P19</f>
        <v>39.5</v>
      </c>
      <c r="P17" s="114">
        <f>SK!Q19</f>
        <v>19.399999999999999</v>
      </c>
      <c r="Q17" s="115">
        <f>SK!R19</f>
        <v>20.100000000000001</v>
      </c>
      <c r="R17" s="114">
        <f>SK!S19</f>
        <v>1.85</v>
      </c>
      <c r="S17" s="46">
        <f t="shared" si="0"/>
        <v>18.148500000000002</v>
      </c>
      <c r="T17" s="46">
        <f t="shared" si="1"/>
        <v>15.016233766233766</v>
      </c>
      <c r="U17" s="46">
        <f t="shared" si="2"/>
        <v>0.73122637837837856</v>
      </c>
      <c r="V17" s="46">
        <f t="shared" si="3"/>
        <v>19.159730458221023</v>
      </c>
      <c r="W17" s="44">
        <f t="shared" si="4"/>
        <v>13.5</v>
      </c>
      <c r="AA17" s="111">
        <f t="shared" si="5"/>
        <v>0.16988329055925286</v>
      </c>
      <c r="AB17"/>
      <c r="AC17"/>
      <c r="AD17"/>
      <c r="AE17"/>
    </row>
    <row r="18" spans="2:31" ht="15.75" x14ac:dyDescent="0.25">
      <c r="B18" s="43">
        <f>SK!B20</f>
        <v>10</v>
      </c>
      <c r="C18" s="44">
        <f>SK!C20</f>
        <v>15</v>
      </c>
      <c r="D18" s="73">
        <f>SK!D20</f>
        <v>3</v>
      </c>
      <c r="E18" s="73">
        <f>SK!E20</f>
        <v>4</v>
      </c>
      <c r="F18" s="73">
        <f>SK!F20</f>
        <v>5</v>
      </c>
      <c r="G18" s="73">
        <f>SK!G20</f>
        <v>9</v>
      </c>
      <c r="H18" s="73" t="str">
        <f>SK!H20</f>
        <v>CIM</v>
      </c>
      <c r="I18" s="130" t="str">
        <f>SK!I20</f>
        <v>Orta Plastisiteli Kil</v>
      </c>
      <c r="J18" s="131"/>
      <c r="K18" s="43">
        <f>SK!L20</f>
        <v>2</v>
      </c>
      <c r="L18" s="114">
        <f>SK!M20</f>
        <v>22.5</v>
      </c>
      <c r="M18" s="114" t="str">
        <f>SK!N20</f>
        <v>-</v>
      </c>
      <c r="N18" s="114">
        <f>SK!O20</f>
        <v>62.9</v>
      </c>
      <c r="O18" s="114">
        <f>SK!P20</f>
        <v>38.200000000000003</v>
      </c>
      <c r="P18" s="114">
        <f>SK!Q20</f>
        <v>20.399999999999999</v>
      </c>
      <c r="Q18" s="115">
        <f>SK!R20</f>
        <v>17.800000000000004</v>
      </c>
      <c r="R18" s="114">
        <f>SK!S20</f>
        <v>1.84</v>
      </c>
      <c r="S18" s="46">
        <f t="shared" si="0"/>
        <v>18.050400000000003</v>
      </c>
      <c r="T18" s="46">
        <f t="shared" si="1"/>
        <v>15.020408163265307</v>
      </c>
      <c r="U18" s="46">
        <f t="shared" si="2"/>
        <v>0.73074524456521739</v>
      </c>
      <c r="V18" s="46">
        <f t="shared" si="3"/>
        <v>19.162329611089717</v>
      </c>
      <c r="W18" s="44">
        <f t="shared" si="4"/>
        <v>15</v>
      </c>
      <c r="AA18" s="111">
        <f t="shared" si="5"/>
        <v>0.15656271958271917</v>
      </c>
      <c r="AB18"/>
      <c r="AC18"/>
      <c r="AD18"/>
      <c r="AE18"/>
    </row>
    <row r="19" spans="2:31" ht="15.75" x14ac:dyDescent="0.25">
      <c r="B19" s="43">
        <f>SK!B21</f>
        <v>11</v>
      </c>
      <c r="C19" s="44">
        <f>SK!C21</f>
        <v>16.5</v>
      </c>
      <c r="D19" s="73">
        <f>SK!D21</f>
        <v>4</v>
      </c>
      <c r="E19" s="73">
        <f>SK!E21</f>
        <v>4</v>
      </c>
      <c r="F19" s="73">
        <f>SK!F21</f>
        <v>5</v>
      </c>
      <c r="G19" s="73">
        <f>SK!G21</f>
        <v>9</v>
      </c>
      <c r="H19" s="73" t="str">
        <f>SK!H21</f>
        <v>CIM</v>
      </c>
      <c r="I19" s="130" t="str">
        <f>SK!I21</f>
        <v>Orta Plastisiteli Kil</v>
      </c>
      <c r="J19" s="131"/>
      <c r="K19" s="43">
        <f>SK!L21</f>
        <v>2</v>
      </c>
      <c r="L19" s="114">
        <f>SK!M21</f>
        <v>23.2</v>
      </c>
      <c r="M19" s="114" t="str">
        <f>SK!N21</f>
        <v>-</v>
      </c>
      <c r="N19" s="114">
        <f>SK!O21</f>
        <v>69.400000000000006</v>
      </c>
      <c r="O19" s="114">
        <f>SK!P21</f>
        <v>39.6</v>
      </c>
      <c r="P19" s="114">
        <f>SK!Q21</f>
        <v>19.7</v>
      </c>
      <c r="Q19" s="115">
        <f>SK!R21</f>
        <v>19.900000000000002</v>
      </c>
      <c r="R19" s="114">
        <f>SK!S21</f>
        <v>1.86</v>
      </c>
      <c r="S19" s="46">
        <f t="shared" si="0"/>
        <v>18.246600000000001</v>
      </c>
      <c r="T19" s="46">
        <f t="shared" si="1"/>
        <v>15.097402597402599</v>
      </c>
      <c r="U19" s="46">
        <f t="shared" si="2"/>
        <v>0.72191870967741933</v>
      </c>
      <c r="V19" s="46">
        <f t="shared" si="3"/>
        <v>19.210269541778974</v>
      </c>
      <c r="W19" s="44">
        <f t="shared" si="4"/>
        <v>16.5</v>
      </c>
      <c r="AA19" s="111">
        <f t="shared" si="5"/>
        <v>0.17093460975286806</v>
      </c>
      <c r="AB19"/>
      <c r="AC19"/>
      <c r="AD19"/>
      <c r="AE19"/>
    </row>
    <row r="20" spans="2:31" ht="15.75" x14ac:dyDescent="0.25">
      <c r="B20" s="43">
        <f>SK!B22</f>
        <v>12</v>
      </c>
      <c r="C20" s="44">
        <f>SK!C22</f>
        <v>18</v>
      </c>
      <c r="D20" s="73">
        <f>SK!D22</f>
        <v>12</v>
      </c>
      <c r="E20" s="73">
        <f>SK!E22</f>
        <v>9</v>
      </c>
      <c r="F20" s="73">
        <f>SK!F22</f>
        <v>13</v>
      </c>
      <c r="G20" s="73">
        <f>SK!G22</f>
        <v>22</v>
      </c>
      <c r="H20" s="73" t="str">
        <f>SK!H22</f>
        <v>CIM</v>
      </c>
      <c r="I20" s="130" t="str">
        <f>SK!I22</f>
        <v>Orta Plastisiteli Kil</v>
      </c>
      <c r="J20" s="131"/>
      <c r="K20" s="43">
        <f>SK!L22</f>
        <v>2</v>
      </c>
      <c r="L20" s="114">
        <f>SK!M22</f>
        <v>22.4</v>
      </c>
      <c r="M20" s="114" t="str">
        <f>SK!N22</f>
        <v>-</v>
      </c>
      <c r="N20" s="114">
        <f>SK!O22</f>
        <v>60.1</v>
      </c>
      <c r="O20" s="114">
        <f>SK!P22</f>
        <v>38.1</v>
      </c>
      <c r="P20" s="114">
        <f>SK!Q22</f>
        <v>20.399999999999999</v>
      </c>
      <c r="Q20" s="115">
        <f>SK!R22</f>
        <v>17.700000000000003</v>
      </c>
      <c r="R20" s="114">
        <f>SK!S22</f>
        <v>1.87</v>
      </c>
      <c r="S20" s="46">
        <f t="shared" si="0"/>
        <v>18.344700000000003</v>
      </c>
      <c r="T20" s="46">
        <f t="shared" si="1"/>
        <v>15.277777777777779</v>
      </c>
      <c r="U20" s="46">
        <f t="shared" si="2"/>
        <v>0.70158909090909094</v>
      </c>
      <c r="V20" s="46">
        <f t="shared" si="3"/>
        <v>19.3225786163522</v>
      </c>
      <c r="W20" s="44">
        <f t="shared" si="4"/>
        <v>18</v>
      </c>
      <c r="AA20" s="111">
        <f t="shared" si="5"/>
        <v>0.15556456961475473</v>
      </c>
      <c r="AB20"/>
      <c r="AC20"/>
      <c r="AD20"/>
      <c r="AE20"/>
    </row>
    <row r="21" spans="2:31" ht="15.75" x14ac:dyDescent="0.25">
      <c r="B21" s="43">
        <f>SK!B23</f>
        <v>13</v>
      </c>
      <c r="C21" s="44">
        <f>SK!C23</f>
        <v>19.5</v>
      </c>
      <c r="D21" s="73">
        <f>SK!D23</f>
        <v>11</v>
      </c>
      <c r="E21" s="73">
        <f>SK!E23</f>
        <v>11</v>
      </c>
      <c r="F21" s="73">
        <f>SK!F23</f>
        <v>14</v>
      </c>
      <c r="G21" s="73">
        <f>SK!G23</f>
        <v>25</v>
      </c>
      <c r="H21" s="73" t="str">
        <f>SK!H23</f>
        <v>CIM</v>
      </c>
      <c r="I21" s="130" t="str">
        <f>SK!I23</f>
        <v>Orta Plastisiteli Kil</v>
      </c>
      <c r="J21" s="131"/>
      <c r="K21" s="43">
        <f>SK!L23</f>
        <v>2</v>
      </c>
      <c r="L21" s="114">
        <f>SK!M23</f>
        <v>23.5</v>
      </c>
      <c r="M21" s="114" t="str">
        <f>SK!N23</f>
        <v>-</v>
      </c>
      <c r="N21" s="114">
        <f>SK!O23</f>
        <v>69.2</v>
      </c>
      <c r="O21" s="114">
        <f>SK!P23</f>
        <v>37.5</v>
      </c>
      <c r="P21" s="114">
        <f>SK!Q23</f>
        <v>20.399999999999999</v>
      </c>
      <c r="Q21" s="115">
        <f>SK!R23</f>
        <v>17.100000000000001</v>
      </c>
      <c r="R21" s="114">
        <f>SK!S23</f>
        <v>1.85</v>
      </c>
      <c r="S21" s="46">
        <f t="shared" si="0"/>
        <v>18.148500000000002</v>
      </c>
      <c r="T21" s="46">
        <f t="shared" si="1"/>
        <v>14.979757085020244</v>
      </c>
      <c r="U21" s="46">
        <f t="shared" si="2"/>
        <v>0.73544202702702699</v>
      </c>
      <c r="V21" s="46">
        <f t="shared" si="3"/>
        <v>19.137018562371097</v>
      </c>
      <c r="W21" s="44">
        <f t="shared" si="4"/>
        <v>19.5</v>
      </c>
      <c r="AA21" s="111">
        <f t="shared" si="5"/>
        <v>0.1496545910139066</v>
      </c>
      <c r="AB21"/>
      <c r="AC21"/>
      <c r="AD21"/>
      <c r="AE21"/>
    </row>
    <row r="22" spans="2:31" ht="15.75" x14ac:dyDescent="0.25">
      <c r="B22" s="43">
        <f>SK!B24</f>
        <v>0</v>
      </c>
      <c r="C22" s="44" t="str">
        <f>SK!C24</f>
        <v/>
      </c>
      <c r="D22" s="112">
        <f>SK!D24</f>
        <v>0</v>
      </c>
      <c r="E22" s="112">
        <f>SK!E24</f>
        <v>0</v>
      </c>
      <c r="F22" s="112">
        <f>SK!F24</f>
        <v>0</v>
      </c>
      <c r="G22" s="112" t="str">
        <f>SK!G24</f>
        <v/>
      </c>
      <c r="H22" s="73">
        <f>SK!H24</f>
        <v>0</v>
      </c>
      <c r="I22" s="130" t="str">
        <f>SK!I24</f>
        <v/>
      </c>
      <c r="J22" s="131"/>
      <c r="K22" s="43" t="str">
        <f>SK!L24</f>
        <v xml:space="preserve"> </v>
      </c>
      <c r="L22" s="116">
        <f>SK!M24</f>
        <v>0</v>
      </c>
      <c r="M22" s="116">
        <f>SK!N24</f>
        <v>0</v>
      </c>
      <c r="N22" s="116">
        <f>SK!O24</f>
        <v>0</v>
      </c>
      <c r="O22" s="116">
        <f>SK!P24</f>
        <v>0</v>
      </c>
      <c r="P22" s="116">
        <f>SK!Q24</f>
        <v>0</v>
      </c>
      <c r="Q22" s="116" t="str">
        <f>SK!R24</f>
        <v/>
      </c>
      <c r="R22" s="116">
        <f>SK!S24</f>
        <v>0</v>
      </c>
      <c r="S22" s="46">
        <f t="shared" si="0"/>
        <v>0</v>
      </c>
      <c r="T22" s="46">
        <f t="shared" si="1"/>
        <v>0</v>
      </c>
      <c r="U22" s="46" t="str">
        <f t="shared" si="2"/>
        <v xml:space="preserve"> </v>
      </c>
      <c r="V22" s="46" t="str">
        <f t="shared" si="3"/>
        <v xml:space="preserve"> </v>
      </c>
      <c r="W22" s="44" t="str">
        <f t="shared" si="4"/>
        <v xml:space="preserve"> </v>
      </c>
      <c r="AB22"/>
      <c r="AC22"/>
      <c r="AD22"/>
      <c r="AE22"/>
    </row>
    <row r="23" spans="2:31" ht="15.75" x14ac:dyDescent="0.25">
      <c r="B23" s="43">
        <f>SK!B25</f>
        <v>0</v>
      </c>
      <c r="C23" s="44">
        <f>SK!C25</f>
        <v>0</v>
      </c>
      <c r="D23" s="112">
        <f>SK!D25</f>
        <v>0</v>
      </c>
      <c r="E23" s="112">
        <f>SK!E25</f>
        <v>0</v>
      </c>
      <c r="F23" s="112">
        <f>SK!F25</f>
        <v>0</v>
      </c>
      <c r="G23" s="112" t="str">
        <f>SK!G25</f>
        <v/>
      </c>
      <c r="H23" s="73">
        <f>SK!H25</f>
        <v>0</v>
      </c>
      <c r="I23" s="130" t="str">
        <f>SK!I25</f>
        <v/>
      </c>
      <c r="J23" s="131"/>
      <c r="K23" s="43" t="str">
        <f>SK!L25</f>
        <v xml:space="preserve"> </v>
      </c>
      <c r="L23" s="116">
        <f>SK!M25</f>
        <v>0</v>
      </c>
      <c r="M23" s="116">
        <f>SK!N25</f>
        <v>0</v>
      </c>
      <c r="N23" s="116">
        <f>SK!O25</f>
        <v>0</v>
      </c>
      <c r="O23" s="116">
        <f>SK!P25</f>
        <v>0</v>
      </c>
      <c r="P23" s="116">
        <f>SK!Q25</f>
        <v>0</v>
      </c>
      <c r="Q23" s="116" t="str">
        <f>SK!R25</f>
        <v/>
      </c>
      <c r="R23" s="116">
        <f>SK!S25</f>
        <v>0</v>
      </c>
      <c r="S23" s="46">
        <f t="shared" si="0"/>
        <v>0</v>
      </c>
      <c r="T23" s="46">
        <f t="shared" si="1"/>
        <v>0</v>
      </c>
      <c r="U23" s="46" t="str">
        <f t="shared" si="2"/>
        <v xml:space="preserve"> </v>
      </c>
      <c r="V23" s="46" t="str">
        <f t="shared" si="3"/>
        <v xml:space="preserve"> </v>
      </c>
      <c r="W23" s="44" t="str">
        <f t="shared" si="4"/>
        <v xml:space="preserve"> </v>
      </c>
      <c r="AB23"/>
      <c r="AC23"/>
      <c r="AD23"/>
      <c r="AE23"/>
    </row>
    <row r="24" spans="2:31" ht="15.75" x14ac:dyDescent="0.25">
      <c r="B24" s="43">
        <f>SK!B26</f>
        <v>0</v>
      </c>
      <c r="C24" s="44">
        <f>SK!C26</f>
        <v>0</v>
      </c>
      <c r="D24" s="112">
        <f>SK!D26</f>
        <v>0</v>
      </c>
      <c r="E24" s="112">
        <f>SK!E26</f>
        <v>0</v>
      </c>
      <c r="F24" s="112">
        <f>SK!F26</f>
        <v>0</v>
      </c>
      <c r="G24" s="112" t="str">
        <f>SK!G26</f>
        <v/>
      </c>
      <c r="H24" s="73">
        <f>SK!H26</f>
        <v>0</v>
      </c>
      <c r="I24" s="130" t="str">
        <f>SK!I26</f>
        <v/>
      </c>
      <c r="J24" s="131"/>
      <c r="K24" s="43" t="str">
        <f>SK!L26</f>
        <v xml:space="preserve"> </v>
      </c>
      <c r="L24" s="116">
        <f>SK!M26</f>
        <v>0</v>
      </c>
      <c r="M24" s="116">
        <f>SK!N26</f>
        <v>0</v>
      </c>
      <c r="N24" s="116">
        <f>SK!O26</f>
        <v>0</v>
      </c>
      <c r="O24" s="116">
        <f>SK!P26</f>
        <v>0</v>
      </c>
      <c r="P24" s="116">
        <f>SK!Q26</f>
        <v>0</v>
      </c>
      <c r="Q24" s="116" t="str">
        <f>SK!R26</f>
        <v/>
      </c>
      <c r="R24" s="116">
        <f>SK!S26</f>
        <v>0</v>
      </c>
      <c r="S24" s="46">
        <f t="shared" si="0"/>
        <v>0</v>
      </c>
      <c r="T24" s="46">
        <f t="shared" si="1"/>
        <v>0</v>
      </c>
      <c r="U24" s="46" t="str">
        <f t="shared" si="2"/>
        <v xml:space="preserve"> </v>
      </c>
      <c r="V24" s="46" t="str">
        <f t="shared" si="3"/>
        <v xml:space="preserve"> </v>
      </c>
      <c r="W24" s="44" t="str">
        <f t="shared" si="4"/>
        <v xml:space="preserve"> </v>
      </c>
      <c r="AB24"/>
      <c r="AC24"/>
      <c r="AD24"/>
      <c r="AE24"/>
    </row>
    <row r="25" spans="2:31" ht="15.75" x14ac:dyDescent="0.25">
      <c r="B25" s="43">
        <f>SK!B27</f>
        <v>0</v>
      </c>
      <c r="C25" s="44">
        <f>SK!C27</f>
        <v>0</v>
      </c>
      <c r="D25" s="112">
        <f>SK!D27</f>
        <v>0</v>
      </c>
      <c r="E25" s="112">
        <f>SK!E27</f>
        <v>0</v>
      </c>
      <c r="F25" s="112">
        <f>SK!F27</f>
        <v>0</v>
      </c>
      <c r="G25" s="112" t="str">
        <f>SK!G27</f>
        <v/>
      </c>
      <c r="H25" s="73">
        <f>SK!H27</f>
        <v>0</v>
      </c>
      <c r="I25" s="130" t="str">
        <f>SK!I27</f>
        <v/>
      </c>
      <c r="J25" s="131"/>
      <c r="K25" s="43" t="str">
        <f>SK!L27</f>
        <v xml:space="preserve"> </v>
      </c>
      <c r="L25" s="116">
        <f>SK!M27</f>
        <v>0</v>
      </c>
      <c r="M25" s="116">
        <f>SK!N27</f>
        <v>0</v>
      </c>
      <c r="N25" s="116">
        <f>SK!O27</f>
        <v>0</v>
      </c>
      <c r="O25" s="116">
        <f>SK!P27</f>
        <v>0</v>
      </c>
      <c r="P25" s="116">
        <f>SK!Q27</f>
        <v>0</v>
      </c>
      <c r="Q25" s="116" t="str">
        <f>SK!R27</f>
        <v/>
      </c>
      <c r="R25" s="116">
        <f>SK!S27</f>
        <v>0</v>
      </c>
      <c r="S25" s="46">
        <f t="shared" si="0"/>
        <v>0</v>
      </c>
      <c r="T25" s="46">
        <f t="shared" si="1"/>
        <v>0</v>
      </c>
      <c r="U25" s="46" t="str">
        <f t="shared" si="2"/>
        <v xml:space="preserve"> </v>
      </c>
      <c r="V25" s="46" t="str">
        <f t="shared" si="3"/>
        <v xml:space="preserve"> </v>
      </c>
      <c r="W25" s="44" t="str">
        <f t="shared" si="4"/>
        <v xml:space="preserve"> </v>
      </c>
      <c r="AB25"/>
      <c r="AC25"/>
      <c r="AD25"/>
      <c r="AE25"/>
    </row>
    <row r="26" spans="2:31" ht="15.75" x14ac:dyDescent="0.25">
      <c r="B26" s="43">
        <f>SK!B28</f>
        <v>0</v>
      </c>
      <c r="C26" s="44">
        <f>SK!C28</f>
        <v>0</v>
      </c>
      <c r="D26" s="112">
        <f>SK!D28</f>
        <v>0</v>
      </c>
      <c r="E26" s="112">
        <f>SK!E28</f>
        <v>0</v>
      </c>
      <c r="F26" s="112">
        <f>SK!F28</f>
        <v>0</v>
      </c>
      <c r="G26" s="112" t="str">
        <f>SK!G28</f>
        <v/>
      </c>
      <c r="H26" s="73">
        <f>SK!H28</f>
        <v>0</v>
      </c>
      <c r="I26" s="130" t="str">
        <f>SK!I28</f>
        <v/>
      </c>
      <c r="J26" s="131"/>
      <c r="K26" s="43" t="str">
        <f>SK!L28</f>
        <v xml:space="preserve"> </v>
      </c>
      <c r="L26" s="116">
        <f>SK!M28</f>
        <v>0</v>
      </c>
      <c r="M26" s="116">
        <f>SK!N28</f>
        <v>0</v>
      </c>
      <c r="N26" s="116">
        <f>SK!O28</f>
        <v>0</v>
      </c>
      <c r="O26" s="116">
        <f>SK!P28</f>
        <v>0</v>
      </c>
      <c r="P26" s="116">
        <f>SK!Q28</f>
        <v>0</v>
      </c>
      <c r="Q26" s="116" t="str">
        <f>SK!R28</f>
        <v/>
      </c>
      <c r="R26" s="116">
        <f>SK!S28</f>
        <v>0</v>
      </c>
      <c r="S26" s="46">
        <f t="shared" si="0"/>
        <v>0</v>
      </c>
      <c r="T26" s="46">
        <f t="shared" si="1"/>
        <v>0</v>
      </c>
      <c r="U26" s="46" t="str">
        <f t="shared" si="2"/>
        <v xml:space="preserve"> </v>
      </c>
      <c r="V26" s="46" t="str">
        <f t="shared" si="3"/>
        <v xml:space="preserve"> </v>
      </c>
      <c r="W26" s="44" t="str">
        <f t="shared" si="4"/>
        <v xml:space="preserve"> </v>
      </c>
    </row>
    <row r="27" spans="2:31" ht="15.75" x14ac:dyDescent="0.25">
      <c r="B27" s="43">
        <f>SK!B29</f>
        <v>0</v>
      </c>
      <c r="C27" s="44">
        <f>SK!C29</f>
        <v>0</v>
      </c>
      <c r="D27" s="112">
        <f>SK!D29</f>
        <v>0</v>
      </c>
      <c r="E27" s="112">
        <f>SK!E29</f>
        <v>0</v>
      </c>
      <c r="F27" s="112">
        <f>SK!F29</f>
        <v>0</v>
      </c>
      <c r="G27" s="112" t="str">
        <f>SK!G29</f>
        <v/>
      </c>
      <c r="H27" s="73">
        <f>SK!H29</f>
        <v>0</v>
      </c>
      <c r="I27" s="130" t="str">
        <f>SK!I29</f>
        <v/>
      </c>
      <c r="J27" s="131"/>
      <c r="K27" s="43" t="str">
        <f>SK!L29</f>
        <v xml:space="preserve"> </v>
      </c>
      <c r="L27" s="116">
        <f>SK!M29</f>
        <v>0</v>
      </c>
      <c r="M27" s="116">
        <f>SK!N29</f>
        <v>0</v>
      </c>
      <c r="N27" s="116">
        <f>SK!O29</f>
        <v>0</v>
      </c>
      <c r="O27" s="116">
        <f>SK!P29</f>
        <v>0</v>
      </c>
      <c r="P27" s="116">
        <f>SK!Q29</f>
        <v>0</v>
      </c>
      <c r="Q27" s="116" t="str">
        <f>SK!R29</f>
        <v/>
      </c>
      <c r="R27" s="116">
        <f>SK!S29</f>
        <v>0</v>
      </c>
      <c r="S27" s="46">
        <f t="shared" si="0"/>
        <v>0</v>
      </c>
      <c r="T27" s="46">
        <f t="shared" si="1"/>
        <v>0</v>
      </c>
      <c r="U27" s="46" t="str">
        <f t="shared" si="2"/>
        <v xml:space="preserve"> </v>
      </c>
      <c r="V27" s="46" t="str">
        <f t="shared" si="3"/>
        <v xml:space="preserve"> </v>
      </c>
      <c r="W27" s="44" t="str">
        <f t="shared" si="4"/>
        <v xml:space="preserve"> </v>
      </c>
    </row>
    <row r="28" spans="2:31" ht="15.75" x14ac:dyDescent="0.25">
      <c r="B28" s="101"/>
      <c r="C28" s="102"/>
      <c r="D28" s="117"/>
      <c r="E28" s="117"/>
      <c r="F28" s="117"/>
      <c r="G28" s="57"/>
      <c r="H28" s="118"/>
      <c r="I28" s="101"/>
      <c r="J28" s="101"/>
      <c r="K28" s="101"/>
      <c r="L28" s="101"/>
      <c r="M28" s="101"/>
      <c r="N28" s="102"/>
      <c r="O28" s="101"/>
      <c r="P28" s="101"/>
      <c r="Q28" s="101"/>
      <c r="R28" s="102"/>
      <c r="S28" s="102"/>
      <c r="T28" s="102"/>
      <c r="U28" s="102"/>
      <c r="V28" s="100"/>
      <c r="W28" s="100"/>
    </row>
    <row r="29" spans="2:31" ht="15.75" x14ac:dyDescent="0.25">
      <c r="B29" s="101"/>
      <c r="C29" s="102"/>
      <c r="D29" s="117"/>
      <c r="E29" s="117"/>
      <c r="F29" s="117"/>
      <c r="G29" s="57"/>
      <c r="H29" s="118"/>
      <c r="I29" s="101"/>
      <c r="J29" s="101"/>
      <c r="K29" s="101"/>
      <c r="L29" s="101"/>
      <c r="M29" s="101"/>
      <c r="N29" s="102"/>
      <c r="O29" s="100"/>
      <c r="P29" s="101" t="s">
        <v>56</v>
      </c>
      <c r="Q29" s="102">
        <f t="shared" ref="Q29:V29" si="6">AVERAGE(Q9:Q27)</f>
        <v>16.7</v>
      </c>
      <c r="R29" s="102">
        <f t="shared" si="6"/>
        <v>1.2452631578947368</v>
      </c>
      <c r="S29" s="102">
        <f t="shared" si="6"/>
        <v>12.216031578947369</v>
      </c>
      <c r="T29" s="102">
        <f t="shared" si="6"/>
        <v>10.239581932695737</v>
      </c>
      <c r="U29" s="102">
        <f t="shared" si="6"/>
        <v>0.73906880855966794</v>
      </c>
      <c r="V29" s="102">
        <f t="shared" si="6"/>
        <v>19.128168173875512</v>
      </c>
      <c r="W29" s="100"/>
    </row>
    <row r="30" spans="2:31" ht="15.75" x14ac:dyDescent="0.25">
      <c r="B30" s="54"/>
      <c r="C30" s="55"/>
      <c r="D30" s="56"/>
      <c r="E30" s="56"/>
      <c r="F30" s="56"/>
      <c r="G30" s="57"/>
      <c r="H30" s="113"/>
      <c r="I30" s="54"/>
      <c r="J30" s="54"/>
      <c r="K30" s="54"/>
      <c r="L30" s="54"/>
      <c r="M30" s="54"/>
      <c r="N30" s="55"/>
      <c r="O30" s="54"/>
      <c r="P30" s="54"/>
      <c r="Q30" s="54"/>
      <c r="R30" s="55"/>
      <c r="S30" s="55"/>
      <c r="T30" s="55"/>
      <c r="U30" s="55"/>
    </row>
    <row r="31" spans="2:31" ht="15.75" x14ac:dyDescent="0.25">
      <c r="B31" s="54"/>
      <c r="C31" s="55"/>
      <c r="D31" s="56"/>
      <c r="E31" s="56"/>
      <c r="F31" s="56"/>
      <c r="G31" s="57"/>
      <c r="H31" s="113"/>
      <c r="I31" s="54"/>
      <c r="J31" s="54"/>
      <c r="K31" s="54"/>
      <c r="L31" s="54"/>
      <c r="M31" s="54"/>
      <c r="N31" s="55"/>
      <c r="O31" s="54"/>
      <c r="P31" s="54"/>
      <c r="Q31" s="54"/>
      <c r="R31" s="55"/>
      <c r="S31" s="55"/>
      <c r="T31" s="55"/>
      <c r="U31" s="55"/>
    </row>
    <row r="32" spans="2:31" ht="15.75" x14ac:dyDescent="0.25">
      <c r="B32" s="54"/>
      <c r="C32" s="55"/>
      <c r="D32" s="56"/>
      <c r="E32" s="56"/>
      <c r="F32" s="56"/>
      <c r="G32" s="57"/>
      <c r="H32" s="113"/>
      <c r="I32" s="54"/>
      <c r="J32" s="54"/>
      <c r="K32" s="54"/>
      <c r="L32" s="54"/>
      <c r="M32" s="54"/>
      <c r="N32" s="55"/>
      <c r="O32" s="54"/>
      <c r="P32" s="54"/>
      <c r="Q32" s="54"/>
      <c r="R32" s="55"/>
      <c r="S32" s="55"/>
      <c r="T32" s="55"/>
      <c r="U32" s="55"/>
    </row>
    <row r="33" spans="2:21" ht="15.75" x14ac:dyDescent="0.25">
      <c r="B33" s="54"/>
      <c r="C33" s="55"/>
      <c r="D33" s="56"/>
      <c r="E33" s="56"/>
      <c r="F33" s="56"/>
      <c r="G33" s="57"/>
      <c r="H33" s="113"/>
      <c r="I33" s="54"/>
      <c r="J33" s="54"/>
      <c r="K33" s="54"/>
      <c r="L33" s="54"/>
      <c r="M33" s="54"/>
      <c r="N33" s="55"/>
      <c r="O33" s="54"/>
      <c r="P33" s="54"/>
      <c r="Q33" s="54"/>
      <c r="R33" s="55"/>
      <c r="S33" s="55"/>
      <c r="T33" s="55"/>
      <c r="U33" s="55"/>
    </row>
    <row r="34" spans="2:21" ht="15.75" x14ac:dyDescent="0.25">
      <c r="B34" s="54"/>
      <c r="C34" s="55"/>
      <c r="D34" s="56"/>
      <c r="E34" s="56"/>
      <c r="F34" s="56"/>
      <c r="G34" s="57"/>
      <c r="H34" s="113"/>
      <c r="I34" s="54"/>
      <c r="J34" s="54"/>
      <c r="K34" s="54"/>
      <c r="L34" s="54"/>
      <c r="M34" s="54"/>
      <c r="N34" s="55"/>
      <c r="O34" s="54"/>
      <c r="P34" s="54"/>
      <c r="Q34" s="54"/>
      <c r="R34" s="55"/>
      <c r="S34" s="55"/>
      <c r="T34" s="55"/>
      <c r="U34" s="55"/>
    </row>
    <row r="35" spans="2:21" ht="15.75" x14ac:dyDescent="0.25">
      <c r="B35" s="54"/>
      <c r="C35" s="55"/>
      <c r="D35" s="56"/>
      <c r="E35" s="56"/>
      <c r="F35" s="56"/>
      <c r="G35" s="57"/>
      <c r="H35" s="113"/>
      <c r="I35" s="54"/>
      <c r="J35" s="54"/>
      <c r="K35" s="54"/>
      <c r="L35" s="54"/>
      <c r="M35" s="54"/>
      <c r="N35" s="55"/>
      <c r="O35" s="54"/>
      <c r="P35" s="54"/>
      <c r="Q35" s="54"/>
      <c r="R35" s="55"/>
      <c r="S35" s="55"/>
      <c r="T35" s="55"/>
      <c r="U35" s="55"/>
    </row>
    <row r="36" spans="2:21" ht="15.75" x14ac:dyDescent="0.25">
      <c r="B36" s="54"/>
      <c r="C36" s="55"/>
      <c r="D36" s="56"/>
      <c r="E36" s="56"/>
      <c r="F36" s="56"/>
      <c r="G36" s="57"/>
      <c r="H36" s="113"/>
      <c r="I36" s="54"/>
      <c r="J36" s="54"/>
      <c r="K36" s="54"/>
      <c r="L36" s="54"/>
      <c r="M36" s="54"/>
      <c r="N36" s="55"/>
      <c r="O36" s="54"/>
      <c r="P36" s="54"/>
      <c r="Q36" s="54"/>
      <c r="R36" s="55"/>
      <c r="S36" s="55"/>
      <c r="T36" s="55"/>
      <c r="U36" s="55"/>
    </row>
    <row r="37" spans="2:21" ht="15.75" x14ac:dyDescent="0.25">
      <c r="B37" s="54"/>
      <c r="C37" s="55"/>
      <c r="D37" s="56"/>
      <c r="E37" s="56"/>
      <c r="F37" s="56"/>
      <c r="G37" s="57"/>
      <c r="H37" s="113"/>
      <c r="I37" s="54"/>
      <c r="J37" s="54"/>
      <c r="K37" s="54"/>
      <c r="L37" s="54"/>
      <c r="M37" s="54"/>
      <c r="N37" s="55"/>
      <c r="O37" s="54"/>
      <c r="P37" s="54"/>
      <c r="Q37" s="54"/>
      <c r="R37" s="55"/>
      <c r="S37" s="55"/>
      <c r="T37" s="55"/>
      <c r="U37" s="55"/>
    </row>
    <row r="38" spans="2:21" ht="17.25" customHeight="1" x14ac:dyDescent="0.25">
      <c r="B38" s="54"/>
      <c r="C38" s="55"/>
      <c r="D38" s="56"/>
      <c r="E38" s="56"/>
      <c r="F38" s="56"/>
      <c r="G38" s="57"/>
      <c r="H38" s="113"/>
      <c r="I38" s="54"/>
      <c r="J38" s="54"/>
      <c r="K38" s="54"/>
      <c r="L38" s="54"/>
      <c r="M38" s="54"/>
      <c r="N38" s="55"/>
      <c r="O38" s="54"/>
      <c r="P38" s="54"/>
      <c r="Q38" s="54"/>
      <c r="R38" s="55"/>
      <c r="S38" s="55"/>
      <c r="T38" s="55"/>
      <c r="U38" s="55"/>
    </row>
    <row r="39" spans="2:21" ht="16.5" customHeight="1" x14ac:dyDescent="0.25"/>
    <row r="40" spans="2:21" ht="16.5" customHeight="1" x14ac:dyDescent="0.25"/>
    <row r="41" spans="2:21" ht="16.5" customHeight="1" x14ac:dyDescent="0.25"/>
    <row r="50" spans="1:28" s="39" customForma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70" spans="6:16" x14ac:dyDescent="0.25">
      <c r="P70" s="89"/>
    </row>
    <row r="72" spans="6:16" x14ac:dyDescent="0.25">
      <c r="F72" s="90"/>
    </row>
  </sheetData>
  <mergeCells count="25">
    <mergeCell ref="AA6:AA7"/>
    <mergeCell ref="I25:J25"/>
    <mergeCell ref="I26:J26"/>
    <mergeCell ref="I27:J27"/>
    <mergeCell ref="I19:J19"/>
    <mergeCell ref="I20:J20"/>
    <mergeCell ref="I21:J21"/>
    <mergeCell ref="I22:J22"/>
    <mergeCell ref="I23:J23"/>
    <mergeCell ref="I24:J24"/>
    <mergeCell ref="I18:J18"/>
    <mergeCell ref="I12:J12"/>
    <mergeCell ref="I13:J13"/>
    <mergeCell ref="I14:J14"/>
    <mergeCell ref="I15:J15"/>
    <mergeCell ref="I16:J16"/>
    <mergeCell ref="I17:J17"/>
    <mergeCell ref="B2:C2"/>
    <mergeCell ref="I8:J8"/>
    <mergeCell ref="I9:J9"/>
    <mergeCell ref="I10:J10"/>
    <mergeCell ref="I11:J11"/>
    <mergeCell ref="B6:D7"/>
    <mergeCell ref="E6:F6"/>
    <mergeCell ref="E7:F7"/>
  </mergeCells>
  <phoneticPr fontId="13" type="noConversion"/>
  <dataValidations disablePrompts="1" count="1">
    <dataValidation type="list" allowBlank="1" showInputMessage="1" showErrorMessage="1" sqref="H28:H38" xr:uid="{00000000-0002-0000-0000-000000000000}">
      <formula1>$AC$9:$AC$23</formula1>
    </dataValidation>
  </dataValidations>
  <pageMargins left="0.25" right="0.25" top="0.75" bottom="0.75" header="0.3" footer="0.3"/>
  <pageSetup paperSize="9" scale="72" orientation="landscape" r:id="rId1"/>
  <rowBreaks count="1" manualBreakCount="1">
    <brk id="73" max="16383" man="1"/>
  </rowBreaks>
  <colBreaks count="1" manualBreakCount="1">
    <brk id="21" min="38" max="63" man="1"/>
  </colBreaks>
  <ignoredErrors>
    <ignoredError sqref="Q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1792-15CB-45E7-973B-E5D54F45276D}">
  <sheetPr>
    <pageSetUpPr fitToPage="1"/>
  </sheetPr>
  <dimension ref="B3:AK47"/>
  <sheetViews>
    <sheetView showZeros="0" view="pageBreakPreview" zoomScaleNormal="100" zoomScaleSheetLayoutView="100" zoomScalePageLayoutView="55" workbookViewId="0">
      <selection activeCell="AK21" sqref="AK21"/>
    </sheetView>
  </sheetViews>
  <sheetFormatPr defaultColWidth="9.140625" defaultRowHeight="15" x14ac:dyDescent="0.25"/>
  <cols>
    <col min="1" max="1" width="6" style="28" customWidth="1"/>
    <col min="2" max="2" width="10.140625" style="28" customWidth="1"/>
    <col min="3" max="3" width="9.140625" style="28"/>
    <col min="4" max="8" width="8.140625" style="28" customWidth="1"/>
    <col min="9" max="9" width="8.7109375" style="28" customWidth="1"/>
    <col min="10" max="10" width="9.28515625" style="28" customWidth="1"/>
    <col min="11" max="11" width="8.140625" style="28" customWidth="1"/>
    <col min="12" max="13" width="9.140625" style="28"/>
    <col min="14" max="14" width="7.85546875" style="28" customWidth="1"/>
    <col min="15" max="16" width="7.140625" style="28" customWidth="1"/>
    <col min="17" max="17" width="8.7109375" style="28" customWidth="1"/>
    <col min="18" max="18" width="7.140625" style="28" customWidth="1"/>
    <col min="19" max="19" width="8.85546875" style="28" customWidth="1"/>
    <col min="20" max="20" width="7.5703125" style="28" customWidth="1"/>
    <col min="21" max="21" width="8.140625" style="28" customWidth="1"/>
    <col min="22" max="22" width="8.5703125" style="28" customWidth="1"/>
    <col min="23" max="23" width="9.85546875" style="28" customWidth="1"/>
    <col min="24" max="24" width="7.28515625" style="28" customWidth="1"/>
    <col min="25" max="25" width="9" style="28" customWidth="1"/>
    <col min="26" max="26" width="7.28515625" style="28" customWidth="1"/>
    <col min="27" max="27" width="9.140625" style="28"/>
    <col min="28" max="28" width="21.140625" style="28" customWidth="1"/>
    <col min="29" max="29" width="23" style="28" customWidth="1"/>
    <col min="30" max="31" width="9.140625" style="28"/>
    <col min="32" max="32" width="9.28515625" style="28" customWidth="1"/>
    <col min="33" max="35" width="9.140625" style="28"/>
    <col min="36" max="36" width="9.140625" style="28" customWidth="1"/>
    <col min="37" max="37" width="19.7109375" style="28" customWidth="1"/>
    <col min="38" max="16384" width="9.140625" style="28"/>
  </cols>
  <sheetData>
    <row r="3" spans="2:37" ht="15.75" x14ac:dyDescent="0.25">
      <c r="B3" s="54"/>
      <c r="C3" s="55"/>
      <c r="D3" s="56"/>
      <c r="E3" s="56"/>
      <c r="F3" s="56"/>
      <c r="G3" s="57"/>
      <c r="H3" s="138" t="s">
        <v>101</v>
      </c>
      <c r="I3" s="138"/>
      <c r="J3" s="138"/>
      <c r="K3" s="138"/>
      <c r="L3" s="138"/>
      <c r="M3" s="138"/>
      <c r="N3" s="138"/>
      <c r="O3" s="138"/>
      <c r="P3" s="138"/>
      <c r="Q3" s="138"/>
      <c r="R3" s="55"/>
      <c r="S3" s="55"/>
      <c r="T3" s="55"/>
      <c r="U3" s="55"/>
    </row>
    <row r="4" spans="2:37" ht="16.5" customHeight="1" x14ac:dyDescent="0.25">
      <c r="B4" s="54"/>
      <c r="C4" s="55"/>
      <c r="D4" s="56"/>
      <c r="E4" s="56"/>
      <c r="F4" s="56"/>
      <c r="G4" s="57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55"/>
      <c r="S4" s="55"/>
      <c r="T4" s="55"/>
      <c r="U4" s="55"/>
    </row>
    <row r="5" spans="2:37" ht="16.5" customHeight="1" x14ac:dyDescent="0.25">
      <c r="B5" s="54"/>
      <c r="C5" s="55"/>
      <c r="D5" s="56"/>
      <c r="E5" s="56"/>
      <c r="F5" s="56"/>
      <c r="G5" s="57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55"/>
      <c r="S5" s="55"/>
      <c r="T5" s="55"/>
      <c r="U5" s="55"/>
    </row>
    <row r="6" spans="2:37" ht="18.75" x14ac:dyDescent="0.35">
      <c r="B6" s="132" t="s">
        <v>140</v>
      </c>
      <c r="C6" s="132"/>
      <c r="D6" s="58">
        <f>SK!D4</f>
        <v>134.69999999999999</v>
      </c>
      <c r="E6" s="59" t="s">
        <v>0</v>
      </c>
      <c r="F6" s="59"/>
      <c r="G6" s="59"/>
      <c r="J6" s="106" t="s">
        <v>42</v>
      </c>
      <c r="K6" s="58">
        <f>SK!K4</f>
        <v>7</v>
      </c>
      <c r="M6" s="106" t="s">
        <v>137</v>
      </c>
      <c r="N6" s="58">
        <f>SK!N4</f>
        <v>1</v>
      </c>
      <c r="O6" s="54"/>
      <c r="P6" s="54"/>
      <c r="Q6" s="54"/>
      <c r="R6" s="55"/>
      <c r="S6" s="55"/>
      <c r="T6" s="55"/>
      <c r="U6" s="55"/>
    </row>
    <row r="7" spans="2:37" ht="18.75" x14ac:dyDescent="0.35">
      <c r="B7" s="100"/>
      <c r="C7" s="106" t="s">
        <v>40</v>
      </c>
      <c r="D7" s="58">
        <f>SK!D5</f>
        <v>0.81</v>
      </c>
      <c r="E7" s="59"/>
      <c r="F7" s="59"/>
      <c r="G7" s="59"/>
      <c r="J7" s="106" t="str">
        <f>CONCATENATE("CM ",  K6," = ")</f>
        <v xml:space="preserve">CM 7 = </v>
      </c>
      <c r="K7" s="107">
        <f>((10^2.24)/(K6^2.56))</f>
        <v>1.192748880379199</v>
      </c>
      <c r="M7" s="106" t="s">
        <v>138</v>
      </c>
      <c r="N7" s="58">
        <f>SK!N5</f>
        <v>1</v>
      </c>
      <c r="O7" s="54"/>
      <c r="P7" s="54"/>
      <c r="Q7" s="54"/>
      <c r="R7" s="55"/>
      <c r="S7" s="55"/>
      <c r="T7" s="55"/>
      <c r="U7" s="55"/>
    </row>
    <row r="8" spans="2:37" ht="17.25" customHeight="1" x14ac:dyDescent="0.35">
      <c r="B8" s="100"/>
      <c r="C8" s="100"/>
      <c r="D8" s="100"/>
      <c r="E8" s="59"/>
      <c r="F8" s="59"/>
      <c r="G8" s="59"/>
      <c r="M8" s="106" t="s">
        <v>139</v>
      </c>
      <c r="N8" s="58">
        <f>SK!N6</f>
        <v>1.1000000000000001</v>
      </c>
      <c r="O8" s="54"/>
      <c r="P8" s="54"/>
      <c r="Q8" s="54"/>
      <c r="R8" s="55"/>
      <c r="S8" s="55"/>
      <c r="T8" s="55"/>
      <c r="U8" s="55"/>
    </row>
    <row r="9" spans="2:37" ht="16.5" customHeight="1" x14ac:dyDescent="0.25">
      <c r="B9" s="60"/>
      <c r="C9" s="61"/>
      <c r="D9" s="62"/>
      <c r="E9" s="62"/>
      <c r="F9" s="62"/>
      <c r="G9" s="57" t="str">
        <f t="shared" ref="G9" si="0">IF(B9="","",E9+F9)</f>
        <v/>
      </c>
      <c r="H9" s="63"/>
      <c r="I9" s="60" t="str">
        <f>IF(H9="","",VLOOKUP(H9,#REF!,2,FALSE))</f>
        <v/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</row>
    <row r="10" spans="2:37" ht="16.5" customHeight="1" x14ac:dyDescent="0.25">
      <c r="B10" s="135" t="str">
        <f>SK!B8</f>
        <v>A BLOK SK-1</v>
      </c>
      <c r="C10" s="135"/>
      <c r="D10" s="135"/>
      <c r="E10" s="132" t="s">
        <v>36</v>
      </c>
      <c r="F10" s="132"/>
      <c r="G10" s="100"/>
      <c r="H10" s="100" t="s">
        <v>34</v>
      </c>
      <c r="I10" s="100" t="s">
        <v>35</v>
      </c>
      <c r="J10" s="100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</row>
    <row r="11" spans="2:37" ht="16.5" customHeight="1" x14ac:dyDescent="0.25">
      <c r="B11" s="135"/>
      <c r="C11" s="135"/>
      <c r="D11" s="135"/>
      <c r="E11" s="136">
        <f>SK!E9</f>
        <v>20</v>
      </c>
      <c r="F11" s="136"/>
      <c r="G11" s="100"/>
      <c r="H11" s="108">
        <f>SK!H9</f>
        <v>2</v>
      </c>
      <c r="I11" s="109">
        <f>SK!I9</f>
        <v>1.5</v>
      </c>
      <c r="J11" s="109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AF11" s="141" t="s">
        <v>150</v>
      </c>
      <c r="AG11" s="141"/>
      <c r="AH11" s="141"/>
      <c r="AI11" s="141"/>
    </row>
    <row r="12" spans="2:37" ht="75" x14ac:dyDescent="0.45">
      <c r="B12" s="33" t="s">
        <v>3</v>
      </c>
      <c r="C12" s="33" t="s">
        <v>4</v>
      </c>
      <c r="D12" s="65" t="s">
        <v>2</v>
      </c>
      <c r="E12" s="66" t="s">
        <v>122</v>
      </c>
      <c r="F12" s="67" t="s">
        <v>123</v>
      </c>
      <c r="G12" s="67" t="s">
        <v>124</v>
      </c>
      <c r="H12" s="67" t="s">
        <v>125</v>
      </c>
      <c r="I12" s="67" t="s">
        <v>126</v>
      </c>
      <c r="J12" s="66" t="s">
        <v>127</v>
      </c>
      <c r="K12" s="34" t="s">
        <v>128</v>
      </c>
      <c r="L12" s="34" t="s">
        <v>129</v>
      </c>
      <c r="M12" s="67" t="s">
        <v>130</v>
      </c>
      <c r="N12" s="66" t="s">
        <v>141</v>
      </c>
      <c r="O12" s="66" t="s">
        <v>47</v>
      </c>
      <c r="P12" s="66" t="s">
        <v>48</v>
      </c>
      <c r="Q12" s="66" t="s">
        <v>154</v>
      </c>
      <c r="R12" s="66" t="s">
        <v>131</v>
      </c>
      <c r="S12" s="66" t="s">
        <v>132</v>
      </c>
      <c r="T12" s="68" t="s">
        <v>133</v>
      </c>
      <c r="U12" s="66" t="s">
        <v>134</v>
      </c>
      <c r="V12" s="66" t="s">
        <v>135</v>
      </c>
      <c r="W12" s="69" t="s">
        <v>118</v>
      </c>
      <c r="X12" s="69" t="s">
        <v>115</v>
      </c>
      <c r="Y12" s="69" t="s">
        <v>156</v>
      </c>
      <c r="Z12" s="70" t="s">
        <v>49</v>
      </c>
      <c r="AA12" s="65" t="s">
        <v>136</v>
      </c>
      <c r="AB12" s="70" t="s">
        <v>51</v>
      </c>
      <c r="AC12" s="70" t="s">
        <v>52</v>
      </c>
      <c r="AD12" s="33" t="s">
        <v>4</v>
      </c>
      <c r="AE12" s="71"/>
      <c r="AF12" s="65" t="s">
        <v>2</v>
      </c>
      <c r="AG12" s="33" t="s">
        <v>55</v>
      </c>
      <c r="AH12" s="72" t="s">
        <v>53</v>
      </c>
      <c r="AI12" s="65" t="s">
        <v>136</v>
      </c>
    </row>
    <row r="13" spans="2:37" ht="15.75" x14ac:dyDescent="0.25">
      <c r="B13" s="43">
        <f>'SIVILASMA ONCESI'!B9</f>
        <v>1</v>
      </c>
      <c r="C13" s="44">
        <f>'SIVILASMA ONCESI'!C9</f>
        <v>1.5</v>
      </c>
      <c r="D13" s="73" t="str">
        <f>'SIVILASMA ONCESI'!H9</f>
        <v>ciSa</v>
      </c>
      <c r="E13" s="74">
        <f>SK!G11</f>
        <v>22</v>
      </c>
      <c r="F13" s="75">
        <f>IF(B13=0," ",$N$6)</f>
        <v>1</v>
      </c>
      <c r="G13" s="75">
        <f>IF(B13=0," ",$N$7)</f>
        <v>1</v>
      </c>
      <c r="H13" s="75">
        <f>IF(B13=0," ",$N$8)</f>
        <v>1.1000000000000001</v>
      </c>
      <c r="I13" s="44">
        <f>IF(B13=0," ",IF(AND(C13&lt;4),0.75,IF(AND(4&lt;=C13,C13&lt;6),0.85,IF(AND(6&lt;=C13,C13&lt;10),0.95,IF(AND(10&lt;=C13),1)))))</f>
        <v>0.75</v>
      </c>
      <c r="J13" s="44">
        <f>IF(B13=0," ",E13*F13*G13*H13*I13)</f>
        <v>18.150000000000002</v>
      </c>
      <c r="K13" s="91">
        <f>IF(B13=0," ",IF(C13&lt;$H$11,C13*'SIVILASMA ONCESI'!T9,2))</f>
        <v>21.895973154362416</v>
      </c>
      <c r="L13" s="91">
        <f>IF(B13=0," ",IF(C13&lt;$H$11,K13,K13-(C13-$H$11)*9.81))</f>
        <v>21.895973154362416</v>
      </c>
      <c r="M13" s="91">
        <f>IF(B13=0,"",IF(OR(D13="CIL",D13="CIH",D13="CIM"),1,IF(C13&lt;$H$11,1,9.78*(1/L13)^0.5)))</f>
        <v>1</v>
      </c>
      <c r="N13" s="91">
        <f>IF(B13=0," ",M13*J13)</f>
        <v>18.150000000000002</v>
      </c>
      <c r="O13" s="91">
        <f>IF(B13=0," ",IF('SIVILASMA ONCESI'!N9&lt;5,0,IF('SIVILASMA ONCESI'!N9&gt;35,5,2.71828^(1.76-190/'SIVILASMA ONCESI'!N9^2))))</f>
        <v>5</v>
      </c>
      <c r="P13" s="91">
        <f>IF(B13=0," ",IF('SIVILASMA ONCESI'!N9&lt;5,1,IF('SIVILASMA ONCESI'!N9&gt;35,1.2,0.99+'SIVILASMA ONCESI'!N9^1.5/1000)))</f>
        <v>1.2</v>
      </c>
      <c r="Q13" s="46">
        <f>IF(B13=0," ",(O13+P13*N13))</f>
        <v>26.78</v>
      </c>
      <c r="R13" s="46">
        <f>IF(B13=0," ",IF(C13&lt;=9.15,1-0.00765*C13,IF(C13&lt;=23,1.174-0.0267*C13,IF(C13&lt;=30,0.744-0.008*C13,0.5))))</f>
        <v>0.98852499999999999</v>
      </c>
      <c r="S13" s="46">
        <f>IF(B13=0," ",IF(C14="",(1.5/J13),(C14-C13)/J13))</f>
        <v>8.2644628099173542E-2</v>
      </c>
      <c r="T13" s="46">
        <f>IF(B13=0," ",SK!$D$5)</f>
        <v>0.81</v>
      </c>
      <c r="U13" s="46">
        <f>IF(B13=0," ",(1/(34-Q13)+(Q13/135)+(50/(10*Q13+45)^2)-(1/200)))</f>
        <v>0.33238554386879199</v>
      </c>
      <c r="V13" s="46">
        <f>IF(B13=0," ",$K$7)</f>
        <v>1.192748880379199</v>
      </c>
      <c r="W13" s="46">
        <f>IF(B13=0," ",U13*V13*L13)</f>
        <v>8.6807129751907937</v>
      </c>
      <c r="X13" s="46">
        <f>IF(B13=0," ",0.65*K13*0.4*T13*R13)</f>
        <v>4.5583773712248323</v>
      </c>
      <c r="Y13" s="120">
        <f>IF(B13=0," ",('SIVILASMA ONCESI'!O9-'SIVILASMA ONCESI'!L9)/('SIVILASMA ONCESI'!O9-'SIVILASMA ONCESI'!P9))</f>
        <v>1.0515463917525774</v>
      </c>
      <c r="Z13" s="49">
        <f>IF(B13=0," ",IF(Q13&gt;34,2,W13/X13))</f>
        <v>1.9043427667899055</v>
      </c>
      <c r="AA13" s="46">
        <f>IF(B13="","",IF(OR(ISBLANK(SK!P11),SK!P11="-")," ",SK!M11/SK!P11))</f>
        <v>0.65306122448979598</v>
      </c>
      <c r="AB13" s="92" t="s">
        <v>58</v>
      </c>
      <c r="AC13" s="92" t="s">
        <v>58</v>
      </c>
      <c r="AD13" s="93">
        <f>IF(B13="","",C13)</f>
        <v>1.5</v>
      </c>
      <c r="AE13" s="76"/>
      <c r="AF13" s="73" t="str">
        <f>D13</f>
        <v>ciSa</v>
      </c>
      <c r="AG13" s="77">
        <f>SK!R11</f>
        <v>9.6999999999999993</v>
      </c>
      <c r="AH13" s="78">
        <f>'SIVILASMA ONCESI'!O9</f>
        <v>29.4</v>
      </c>
      <c r="AI13" s="38">
        <f>AA13</f>
        <v>0.65306122448979598</v>
      </c>
      <c r="AK13" s="92" t="s">
        <v>58</v>
      </c>
    </row>
    <row r="14" spans="2:37" ht="15.75" x14ac:dyDescent="0.25">
      <c r="B14" s="43">
        <f>'SIVILASMA ONCESI'!B10</f>
        <v>2</v>
      </c>
      <c r="C14" s="44">
        <f>'SIVILASMA ONCESI'!C10</f>
        <v>3</v>
      </c>
      <c r="D14" s="73" t="str">
        <f>'SIVILASMA ONCESI'!H10</f>
        <v>CIH</v>
      </c>
      <c r="E14" s="74">
        <f>SK!G12</f>
        <v>5</v>
      </c>
      <c r="F14" s="75">
        <f t="shared" ref="F14:F31" si="1">IF(B14=0," ",$N$6)</f>
        <v>1</v>
      </c>
      <c r="G14" s="75">
        <f t="shared" ref="G14:G31" si="2">IF(B14=0," ",$N$7)</f>
        <v>1</v>
      </c>
      <c r="H14" s="75">
        <f t="shared" ref="H14:H31" si="3">IF(B14=0," ",$N$8)</f>
        <v>1.1000000000000001</v>
      </c>
      <c r="I14" s="44">
        <f t="shared" ref="I14:I31" si="4">IF(B14=0," ",IF(AND(C14&lt;4),0.75,IF(AND(4&lt;=C14,C14&lt;6),0.85,IF(AND(6&lt;=C14,C14&lt;10),0.95,IF(AND(10&lt;=C14),1)))))</f>
        <v>0.75</v>
      </c>
      <c r="J14" s="44">
        <f t="shared" ref="J14:J31" si="5">IF(B14=0," ",E14*F14*G14*H14*I14)</f>
        <v>4.125</v>
      </c>
      <c r="K14" s="91">
        <f>IF(B14=0," ",C14*'SIVILASMA ONCESI'!T10)</f>
        <v>46.211490424646129</v>
      </c>
      <c r="L14" s="91">
        <f t="shared" ref="L14:L31" si="6">IF(B14=0," ",IF(C14&lt;$H$11,K14,K14-(C14-$H$11)*9.81))</f>
        <v>36.401490424646127</v>
      </c>
      <c r="M14" s="91">
        <f t="shared" ref="M14:M31" si="7">IF(B14=0,"",IF(OR(D14="CIL",D14="CIH",D14="CIM"),1,IF(C14&lt;$H$11,1,9.78*(1/L14)^0.5)))</f>
        <v>1</v>
      </c>
      <c r="N14" s="91">
        <f t="shared" ref="N14:N31" si="8">IF(B14=0," ",M14*J14)</f>
        <v>4.125</v>
      </c>
      <c r="O14" s="91">
        <f>IF(B14=0," ",IF('SIVILASMA ONCESI'!N10&lt;5,0,IF('SIVILASMA ONCESI'!N10&gt;35,5,2.71828^(1.76-190/'SIVILASMA ONCESI'!N10^2))))</f>
        <v>5</v>
      </c>
      <c r="P14" s="91">
        <f>IF(B14=0," ",IF('SIVILASMA ONCESI'!N10&lt;5,1,IF('SIVILASMA ONCESI'!N10&gt;35,1.2,0.99+'SIVILASMA ONCESI'!N10^1.5/1000)))</f>
        <v>1.2</v>
      </c>
      <c r="Q14" s="46">
        <f t="shared" ref="Q14:Q31" si="9">IF(B14=0," ",(O14+P14*N14))</f>
        <v>9.9499999999999993</v>
      </c>
      <c r="R14" s="46">
        <f t="shared" ref="R14:R31" si="10">IF(B14=0," ",IF(C14&lt;=9.15,1-0.00765*C14,IF(C14&lt;=23,1.174-0.0267*C14,IF(C14&lt;=30,0.744-0.008*C14,0.5))))</f>
        <v>0.97704999999999997</v>
      </c>
      <c r="S14" s="46">
        <f t="shared" ref="S14:S31" si="11">IF(B14=0," ",IF(C15="",(1.5/J14),(C15-C14)/J14))</f>
        <v>0.36363636363636365</v>
      </c>
      <c r="T14" s="46">
        <f>IF(B14=0," ",SK!$D$5)</f>
        <v>0.81</v>
      </c>
      <c r="U14" s="46">
        <f t="shared" ref="U14:U31" si="12">IF(B14=0," ",(1/(34-Q14)+(Q14/135)+(50/(10*Q14+45)^2)-(1/200)))</f>
        <v>0.11267835262800599</v>
      </c>
      <c r="V14" s="46">
        <f t="shared" ref="V14:V31" si="13">IF(B14=0," ",$K$7)</f>
        <v>1.192748880379199</v>
      </c>
      <c r="W14" s="46">
        <f t="shared" ref="W14:W31" si="14">IF(B14=0," ",U14*V14*L14)</f>
        <v>4.8922503419867498</v>
      </c>
      <c r="X14" s="46">
        <f t="shared" ref="X14:X31" si="15">IF(B14=0," ",0.65*K14*0.4*T14*R14)</f>
        <v>9.5087872731057459</v>
      </c>
      <c r="Y14" s="120">
        <f>IF(B14=0," ",('SIVILASMA ONCESI'!O10-'SIVILASMA ONCESI'!L10)/('SIVILASMA ONCESI'!O10-'SIVILASMA ONCESI'!P10))</f>
        <v>1.0169491525423726</v>
      </c>
      <c r="Z14" s="49">
        <f t="shared" ref="Z14:Z31" si="16">IF(B14=0," ",IF(Q14&gt;34,2,W14/X14))</f>
        <v>0.51449782201183369</v>
      </c>
      <c r="AA14" s="46">
        <f>IF(B14="","",IF(OR(ISBLANK(SK!P12),SK!P12="-")," ",SK!M12/SK!P12))</f>
        <v>0.5275590551181103</v>
      </c>
      <c r="AB14" s="51" t="s">
        <v>151</v>
      </c>
      <c r="AC14" s="51" t="s">
        <v>73</v>
      </c>
      <c r="AD14" s="49">
        <f t="shared" ref="AD14:AD31" si="17">IF(B14="","",C14)</f>
        <v>3</v>
      </c>
      <c r="AE14" s="55"/>
      <c r="AF14" s="73" t="str">
        <f t="shared" ref="AF14:AF31" si="18">D14</f>
        <v>CIH</v>
      </c>
      <c r="AG14" s="77">
        <f>SK!R12</f>
        <v>17.700000000000003</v>
      </c>
      <c r="AH14" s="78">
        <f>'SIVILASMA ONCESI'!O10</f>
        <v>38.1</v>
      </c>
      <c r="AI14" s="38">
        <f t="shared" ref="AI14:AI31" si="19">AA14</f>
        <v>0.5275590551181103</v>
      </c>
      <c r="AK14" s="51" t="s">
        <v>73</v>
      </c>
    </row>
    <row r="15" spans="2:37" ht="15.75" x14ac:dyDescent="0.25">
      <c r="B15" s="43">
        <f>'SIVILASMA ONCESI'!B11</f>
        <v>3</v>
      </c>
      <c r="C15" s="44">
        <f>'SIVILASMA ONCESI'!C11</f>
        <v>4.5</v>
      </c>
      <c r="D15" s="73" t="str">
        <f>'SIVILASMA ONCESI'!H11</f>
        <v>CIM</v>
      </c>
      <c r="E15" s="74">
        <f>SK!G13</f>
        <v>16</v>
      </c>
      <c r="F15" s="75">
        <f t="shared" si="1"/>
        <v>1</v>
      </c>
      <c r="G15" s="75">
        <f t="shared" si="2"/>
        <v>1</v>
      </c>
      <c r="H15" s="75">
        <f t="shared" si="3"/>
        <v>1.1000000000000001</v>
      </c>
      <c r="I15" s="44">
        <f t="shared" si="4"/>
        <v>0.85</v>
      </c>
      <c r="J15" s="44">
        <f t="shared" si="5"/>
        <v>14.96</v>
      </c>
      <c r="K15" s="91">
        <f>IF(B15=0," ",C15*'SIVILASMA ONCESI'!T11)</f>
        <v>68.22700911350455</v>
      </c>
      <c r="L15" s="91">
        <f t="shared" si="6"/>
        <v>43.702009113504545</v>
      </c>
      <c r="M15" s="91">
        <f t="shared" si="7"/>
        <v>1</v>
      </c>
      <c r="N15" s="91">
        <f t="shared" si="8"/>
        <v>14.96</v>
      </c>
      <c r="O15" s="91">
        <f>IF(B15=0," ",IF('SIVILASMA ONCESI'!N11&lt;5,0,IF('SIVILASMA ONCESI'!N11&gt;35,5,2.71828^(1.76-190/'SIVILASMA ONCESI'!N11^2))))</f>
        <v>5</v>
      </c>
      <c r="P15" s="91">
        <f>IF(B15=0," ",IF('SIVILASMA ONCESI'!N11&lt;5,1,IF('SIVILASMA ONCESI'!N11&gt;35,1.2,0.99+'SIVILASMA ONCESI'!N11^1.5/1000)))</f>
        <v>1.2</v>
      </c>
      <c r="Q15" s="46">
        <f t="shared" si="9"/>
        <v>22.952000000000002</v>
      </c>
      <c r="R15" s="46">
        <f t="shared" si="10"/>
        <v>0.96557499999999996</v>
      </c>
      <c r="S15" s="46">
        <f t="shared" si="11"/>
        <v>0.10026737967914438</v>
      </c>
      <c r="T15" s="46">
        <f>IF(B15=0," ",SK!$D$5)</f>
        <v>0.81</v>
      </c>
      <c r="U15" s="46">
        <f t="shared" si="12"/>
        <v>0.25619240613838828</v>
      </c>
      <c r="V15" s="46">
        <f t="shared" si="13"/>
        <v>1.192748880379199</v>
      </c>
      <c r="W15" s="46">
        <f t="shared" si="14"/>
        <v>13.354163015240488</v>
      </c>
      <c r="X15" s="46">
        <f t="shared" si="15"/>
        <v>13.873968784797018</v>
      </c>
      <c r="Y15" s="120">
        <f>IF(B15=0," ",('SIVILASMA ONCESI'!O11-'SIVILASMA ONCESI'!L11)/('SIVILASMA ONCESI'!O11-'SIVILASMA ONCESI'!P11))</f>
        <v>0.9831460674157303</v>
      </c>
      <c r="Z15" s="49">
        <f t="shared" si="16"/>
        <v>0.96253373655228858</v>
      </c>
      <c r="AA15" s="46">
        <f>IF(B15="","",IF(OR(ISBLANK(SK!P13),SK!P13="-")," ",SK!M13/SK!P13))</f>
        <v>0.54188481675392663</v>
      </c>
      <c r="AB15" s="51" t="s">
        <v>151</v>
      </c>
      <c r="AC15" s="94" t="s">
        <v>155</v>
      </c>
      <c r="AD15" s="44">
        <f t="shared" si="17"/>
        <v>4.5</v>
      </c>
      <c r="AE15" s="79"/>
      <c r="AF15" s="73" t="str">
        <f t="shared" si="18"/>
        <v>CIM</v>
      </c>
      <c r="AG15" s="77">
        <f>SK!R13</f>
        <v>17.800000000000004</v>
      </c>
      <c r="AH15" s="78">
        <f>'SIVILASMA ONCESI'!O11</f>
        <v>38.200000000000003</v>
      </c>
      <c r="AI15" s="38">
        <f t="shared" si="19"/>
        <v>0.54188481675392663</v>
      </c>
      <c r="AK15" s="94" t="s">
        <v>155</v>
      </c>
    </row>
    <row r="16" spans="2:37" ht="15.75" x14ac:dyDescent="0.25">
      <c r="B16" s="43">
        <f>'SIVILASMA ONCESI'!B12</f>
        <v>4</v>
      </c>
      <c r="C16" s="44">
        <f>'SIVILASMA ONCESI'!C12</f>
        <v>6</v>
      </c>
      <c r="D16" s="73" t="str">
        <f>'SIVILASMA ONCESI'!H12</f>
        <v>siSa</v>
      </c>
      <c r="E16" s="74">
        <f>SK!G14</f>
        <v>13</v>
      </c>
      <c r="F16" s="75">
        <f t="shared" si="1"/>
        <v>1</v>
      </c>
      <c r="G16" s="75">
        <f t="shared" si="2"/>
        <v>1</v>
      </c>
      <c r="H16" s="75">
        <f t="shared" si="3"/>
        <v>1.1000000000000001</v>
      </c>
      <c r="I16" s="44">
        <f t="shared" si="4"/>
        <v>0.95</v>
      </c>
      <c r="J16" s="44">
        <f t="shared" si="5"/>
        <v>13.585000000000001</v>
      </c>
      <c r="K16" s="91">
        <f>IF(B16=0," ",C16*'SIVILASMA ONCESI'!T12)</f>
        <v>80.693069306930681</v>
      </c>
      <c r="L16" s="91">
        <f t="shared" si="6"/>
        <v>41.453069306930679</v>
      </c>
      <c r="M16" s="91">
        <f t="shared" si="7"/>
        <v>1.5190095648755528</v>
      </c>
      <c r="N16" s="91">
        <f t="shared" si="8"/>
        <v>20.635744938834385</v>
      </c>
      <c r="O16" s="91">
        <f>IF(B16=0," ",IF('SIVILASMA ONCESI'!N12&lt;5,0,IF('SIVILASMA ONCESI'!N12&gt;35,5,2.71828^(1.76-190/'SIVILASMA ONCESI'!N12^2))))</f>
        <v>5</v>
      </c>
      <c r="P16" s="91">
        <f>IF(B16=0," ",IF('SIVILASMA ONCESI'!N12&lt;5,1,IF('SIVILASMA ONCESI'!N12&gt;35,1.2,0.99+'SIVILASMA ONCESI'!N12^1.5/1000)))</f>
        <v>1.2</v>
      </c>
      <c r="Q16" s="46">
        <f t="shared" si="9"/>
        <v>29.762893926601262</v>
      </c>
      <c r="R16" s="46">
        <f t="shared" si="10"/>
        <v>0.95409999999999995</v>
      </c>
      <c r="S16" s="46">
        <f t="shared" si="11"/>
        <v>0.1104158998895841</v>
      </c>
      <c r="T16" s="46">
        <f>IF(B16=0," ",SK!$D$5)</f>
        <v>0.81</v>
      </c>
      <c r="U16" s="46">
        <f t="shared" si="12"/>
        <v>0.45190193551446195</v>
      </c>
      <c r="V16" s="46">
        <f t="shared" si="13"/>
        <v>1.192748880379199</v>
      </c>
      <c r="W16" s="46">
        <f t="shared" si="14"/>
        <v>22.343433493502115</v>
      </c>
      <c r="X16" s="46">
        <f t="shared" si="15"/>
        <v>16.213937613861386</v>
      </c>
      <c r="Y16" s="120" t="e">
        <f>IF(B16=0," ",('SIVILASMA ONCESI'!O12-'SIVILASMA ONCESI'!L12)/('SIVILASMA ONCESI'!O12-'SIVILASMA ONCESI'!P12))</f>
        <v>#DIV/0!</v>
      </c>
      <c r="Z16" s="49">
        <f t="shared" si="16"/>
        <v>1.378038698903133</v>
      </c>
      <c r="AA16" s="46" t="str">
        <f>IF(B16="","",IF(OR(ISBLANK(SK!P14),SK!P14="-")," ",SK!M14/SK!P14))</f>
        <v xml:space="preserve"> </v>
      </c>
      <c r="AB16" s="51" t="s">
        <v>151</v>
      </c>
      <c r="AC16" s="51" t="s">
        <v>73</v>
      </c>
      <c r="AD16" s="49">
        <f t="shared" si="17"/>
        <v>6</v>
      </c>
      <c r="AE16" s="55"/>
      <c r="AF16" s="73" t="str">
        <f t="shared" si="18"/>
        <v>siSa</v>
      </c>
      <c r="AG16" s="77" t="str">
        <f>SK!R14</f>
        <v/>
      </c>
      <c r="AH16" s="78">
        <f>'SIVILASMA ONCESI'!O12</f>
        <v>0</v>
      </c>
      <c r="AI16" s="38" t="str">
        <f t="shared" si="19"/>
        <v xml:space="preserve"> </v>
      </c>
      <c r="AK16" s="94" t="s">
        <v>162</v>
      </c>
    </row>
    <row r="17" spans="2:35" ht="15.75" x14ac:dyDescent="0.25">
      <c r="B17" s="43">
        <f>'SIVILASMA ONCESI'!B13</f>
        <v>5</v>
      </c>
      <c r="C17" s="44">
        <f>'SIVILASMA ONCESI'!C13</f>
        <v>7.5</v>
      </c>
      <c r="D17" s="73" t="str">
        <f>'SIVILASMA ONCESI'!H13</f>
        <v>CIM</v>
      </c>
      <c r="E17" s="74">
        <f>SK!G15</f>
        <v>11</v>
      </c>
      <c r="F17" s="75">
        <f t="shared" si="1"/>
        <v>1</v>
      </c>
      <c r="G17" s="75">
        <f t="shared" si="2"/>
        <v>1</v>
      </c>
      <c r="H17" s="75">
        <f t="shared" si="3"/>
        <v>1.1000000000000001</v>
      </c>
      <c r="I17" s="44">
        <f t="shared" si="4"/>
        <v>0.95</v>
      </c>
      <c r="J17" s="44">
        <f t="shared" si="5"/>
        <v>11.495000000000001</v>
      </c>
      <c r="K17" s="91">
        <f>IF(B17=0," ",C17*'SIVILASMA ONCESI'!T13)</f>
        <v>115.48013245033115</v>
      </c>
      <c r="L17" s="91">
        <f t="shared" si="6"/>
        <v>61.525132450331149</v>
      </c>
      <c r="M17" s="91">
        <f t="shared" si="7"/>
        <v>1</v>
      </c>
      <c r="N17" s="91">
        <f t="shared" si="8"/>
        <v>11.495000000000001</v>
      </c>
      <c r="O17" s="91">
        <f>IF(B17=0," ",IF('SIVILASMA ONCESI'!N13&lt;5,0,IF('SIVILASMA ONCESI'!N13&gt;35,5,2.71828^(1.76-190/'SIVILASMA ONCESI'!N13^2))))</f>
        <v>5</v>
      </c>
      <c r="P17" s="91">
        <f>IF(B17=0," ",IF('SIVILASMA ONCESI'!N13&lt;5,1,IF('SIVILASMA ONCESI'!N13&gt;35,1.2,0.99+'SIVILASMA ONCESI'!N13^1.5/1000)))</f>
        <v>1.2</v>
      </c>
      <c r="Q17" s="46">
        <f t="shared" si="9"/>
        <v>18.794</v>
      </c>
      <c r="R17" s="46">
        <f t="shared" si="10"/>
        <v>0.94262500000000005</v>
      </c>
      <c r="S17" s="46">
        <f t="shared" si="11"/>
        <v>0.13049151805132667</v>
      </c>
      <c r="T17" s="46">
        <f>IF(B17=0," ",SK!$D$5)</f>
        <v>0.81</v>
      </c>
      <c r="U17" s="46">
        <f t="shared" si="12"/>
        <v>0.20089980062049742</v>
      </c>
      <c r="V17" s="46">
        <f t="shared" si="13"/>
        <v>1.192748880379199</v>
      </c>
      <c r="W17" s="46">
        <f t="shared" si="14"/>
        <v>14.742837567351698</v>
      </c>
      <c r="X17" s="46">
        <f t="shared" si="15"/>
        <v>22.92474924461921</v>
      </c>
      <c r="Y17" s="120">
        <f>IF(B17=0," ",('SIVILASMA ONCESI'!O13-'SIVILASMA ONCESI'!L13)/('SIVILASMA ONCESI'!O13-'SIVILASMA ONCESI'!P13))</f>
        <v>0.98235294117647054</v>
      </c>
      <c r="Z17" s="49">
        <f t="shared" si="16"/>
        <v>0.64309700446612594</v>
      </c>
      <c r="AA17" s="46">
        <f>IF(B17="","",IF(OR(ISBLANK(SK!P15),SK!P15="-")," ",SK!M15/SK!P15))</f>
        <v>0.55466666666666664</v>
      </c>
      <c r="AB17" s="51" t="s">
        <v>151</v>
      </c>
      <c r="AC17" s="94" t="s">
        <v>155</v>
      </c>
      <c r="AD17" s="49">
        <f t="shared" si="17"/>
        <v>7.5</v>
      </c>
      <c r="AE17" s="76"/>
      <c r="AF17" s="73" t="str">
        <f t="shared" si="18"/>
        <v>CIM</v>
      </c>
      <c r="AG17" s="77">
        <f>SK!R15</f>
        <v>17</v>
      </c>
      <c r="AH17" s="78">
        <f>'SIVILASMA ONCESI'!O13</f>
        <v>37.5</v>
      </c>
      <c r="AI17" s="38">
        <f t="shared" si="19"/>
        <v>0.55466666666666664</v>
      </c>
    </row>
    <row r="18" spans="2:35" ht="15.75" x14ac:dyDescent="0.25">
      <c r="B18" s="43">
        <f>'SIVILASMA ONCESI'!B14</f>
        <v>6</v>
      </c>
      <c r="C18" s="44">
        <f>'SIVILASMA ONCESI'!C14</f>
        <v>9</v>
      </c>
      <c r="D18" s="73" t="str">
        <f>'SIVILASMA ONCESI'!H14</f>
        <v>CIL</v>
      </c>
      <c r="E18" s="74">
        <f>SK!G16</f>
        <v>12</v>
      </c>
      <c r="F18" s="75">
        <f t="shared" si="1"/>
        <v>1</v>
      </c>
      <c r="G18" s="75">
        <f t="shared" si="2"/>
        <v>1</v>
      </c>
      <c r="H18" s="75">
        <f t="shared" si="3"/>
        <v>1.1000000000000001</v>
      </c>
      <c r="I18" s="44">
        <f t="shared" si="4"/>
        <v>0.95</v>
      </c>
      <c r="J18" s="44">
        <f t="shared" si="5"/>
        <v>12.540000000000001</v>
      </c>
      <c r="K18" s="91">
        <f>IF(B18=0," ",C18*'SIVILASMA ONCESI'!T14)</f>
        <v>134.58646616541353</v>
      </c>
      <c r="L18" s="91">
        <f t="shared" si="6"/>
        <v>65.916466165413524</v>
      </c>
      <c r="M18" s="91">
        <f t="shared" si="7"/>
        <v>1</v>
      </c>
      <c r="N18" s="91">
        <f t="shared" si="8"/>
        <v>12.540000000000001</v>
      </c>
      <c r="O18" s="91">
        <f>IF(B18=0," ",IF('SIVILASMA ONCESI'!N14&lt;5,0,IF('SIVILASMA ONCESI'!N14&gt;35,5,2.71828^(1.76-190/'SIVILASMA ONCESI'!N14^2))))</f>
        <v>5</v>
      </c>
      <c r="P18" s="91">
        <f>IF(B18=0," ",IF('SIVILASMA ONCESI'!N14&lt;5,1,IF('SIVILASMA ONCESI'!N14&gt;35,1.2,0.99+'SIVILASMA ONCESI'!N14^1.5/1000)))</f>
        <v>1.2</v>
      </c>
      <c r="Q18" s="46">
        <f t="shared" si="9"/>
        <v>20.048000000000002</v>
      </c>
      <c r="R18" s="46">
        <f t="shared" si="10"/>
        <v>0.93115000000000003</v>
      </c>
      <c r="S18" s="46">
        <f t="shared" si="11"/>
        <v>0.11961722488038276</v>
      </c>
      <c r="T18" s="46">
        <f>IF(B18=0," ",SK!$D$5)</f>
        <v>0.81</v>
      </c>
      <c r="U18" s="46">
        <f t="shared" si="12"/>
        <v>0.21600774750690069</v>
      </c>
      <c r="V18" s="46">
        <f t="shared" si="13"/>
        <v>1.192748880379199</v>
      </c>
      <c r="W18" s="46">
        <f t="shared" si="14"/>
        <v>16.982916025817676</v>
      </c>
      <c r="X18" s="46">
        <f t="shared" si="15"/>
        <v>26.39243158646617</v>
      </c>
      <c r="Y18" s="120">
        <f>IF(B18=0," ",('SIVILASMA ONCESI'!O14-'SIVILASMA ONCESI'!L14)/('SIVILASMA ONCESI'!O14-'SIVILASMA ONCESI'!P14))</f>
        <v>1.1086956521739131</v>
      </c>
      <c r="Z18" s="49">
        <f t="shared" si="16"/>
        <v>0.64347674711891201</v>
      </c>
      <c r="AA18" s="46">
        <f>IF(B18="","",IF(OR(ISBLANK(SK!P16),SK!P16="-")," ",SK!M16/SK!P16))</f>
        <v>0.65886287625418061</v>
      </c>
      <c r="AB18" s="51" t="s">
        <v>151</v>
      </c>
      <c r="AC18" s="94" t="s">
        <v>162</v>
      </c>
      <c r="AD18" s="93">
        <f t="shared" si="17"/>
        <v>9</v>
      </c>
      <c r="AE18" s="55"/>
      <c r="AF18" s="73" t="str">
        <f t="shared" si="18"/>
        <v>CIL</v>
      </c>
      <c r="AG18" s="77">
        <f>SK!R16</f>
        <v>9.1999999999999993</v>
      </c>
      <c r="AH18" s="78">
        <f>'SIVILASMA ONCESI'!O14</f>
        <v>29.9</v>
      </c>
      <c r="AI18" s="38">
        <f t="shared" si="19"/>
        <v>0.65886287625418061</v>
      </c>
    </row>
    <row r="19" spans="2:35" ht="15.75" x14ac:dyDescent="0.25">
      <c r="B19" s="43">
        <f>'SIVILASMA ONCESI'!B15</f>
        <v>7</v>
      </c>
      <c r="C19" s="44">
        <f>'SIVILASMA ONCESI'!C15</f>
        <v>10.5</v>
      </c>
      <c r="D19" s="73" t="str">
        <f>'SIVILASMA ONCESI'!H15</f>
        <v>CIM</v>
      </c>
      <c r="E19" s="74">
        <f>SK!G17</f>
        <v>7</v>
      </c>
      <c r="F19" s="75">
        <f t="shared" si="1"/>
        <v>1</v>
      </c>
      <c r="G19" s="75">
        <f t="shared" si="2"/>
        <v>1</v>
      </c>
      <c r="H19" s="75">
        <f t="shared" si="3"/>
        <v>1.1000000000000001</v>
      </c>
      <c r="I19" s="44">
        <f t="shared" si="4"/>
        <v>1</v>
      </c>
      <c r="J19" s="44">
        <f t="shared" si="5"/>
        <v>7.7000000000000011</v>
      </c>
      <c r="K19" s="91">
        <f>IF(B19=0," ",C19*'SIVILASMA ONCESI'!T15)</f>
        <v>160.34482758620692</v>
      </c>
      <c r="L19" s="91">
        <f t="shared" si="6"/>
        <v>76.959827586206913</v>
      </c>
      <c r="M19" s="91">
        <f t="shared" si="7"/>
        <v>1</v>
      </c>
      <c r="N19" s="91">
        <f t="shared" si="8"/>
        <v>7.7000000000000011</v>
      </c>
      <c r="O19" s="91">
        <f>IF(B19=0," ",IF('SIVILASMA ONCESI'!N15&lt;5,0,IF('SIVILASMA ONCESI'!N15&gt;35,5,2.71828^(1.76-190/'SIVILASMA ONCESI'!N15^2))))</f>
        <v>5</v>
      </c>
      <c r="P19" s="91">
        <f>IF(B19=0," ",IF('SIVILASMA ONCESI'!N15&lt;5,1,IF('SIVILASMA ONCESI'!N15&gt;35,1.2,0.99+'SIVILASMA ONCESI'!N15^1.5/1000)))</f>
        <v>1.2</v>
      </c>
      <c r="Q19" s="46">
        <f t="shared" si="9"/>
        <v>14.24</v>
      </c>
      <c r="R19" s="46">
        <f t="shared" si="10"/>
        <v>0.89364999999999994</v>
      </c>
      <c r="S19" s="46">
        <f t="shared" si="11"/>
        <v>0.19480519480519479</v>
      </c>
      <c r="T19" s="46">
        <f>IF(B19=0," ",SK!$D$5)</f>
        <v>0.81</v>
      </c>
      <c r="U19" s="46">
        <f t="shared" si="12"/>
        <v>0.15251250940462668</v>
      </c>
      <c r="V19" s="46">
        <f t="shared" si="13"/>
        <v>1.192748880379199</v>
      </c>
      <c r="W19" s="46">
        <f t="shared" si="14"/>
        <v>13.999694883751014</v>
      </c>
      <c r="X19" s="46">
        <f t="shared" si="15"/>
        <v>30.177327879310354</v>
      </c>
      <c r="Y19" s="120">
        <f>IF(B19=0," ",('SIVILASMA ONCESI'!O15-'SIVILASMA ONCESI'!L15)/('SIVILASMA ONCESI'!O15-'SIVILASMA ONCESI'!P15))</f>
        <v>0.92349726775956276</v>
      </c>
      <c r="Z19" s="49">
        <f t="shared" si="16"/>
        <v>0.46391433130662429</v>
      </c>
      <c r="AA19" s="46">
        <f>IF(B19="","",IF(OR(ISBLANK(SK!P17),SK!P17="-")," ",SK!M17/SK!P17))</f>
        <v>0.56330749354005161</v>
      </c>
      <c r="AB19" s="51" t="s">
        <v>151</v>
      </c>
      <c r="AC19" s="94" t="s">
        <v>155</v>
      </c>
      <c r="AD19" s="49">
        <f t="shared" si="17"/>
        <v>10.5</v>
      </c>
      <c r="AE19" s="55"/>
      <c r="AF19" s="73" t="str">
        <f t="shared" si="18"/>
        <v>CIM</v>
      </c>
      <c r="AG19" s="77">
        <f>SK!R17</f>
        <v>18.300000000000004</v>
      </c>
      <c r="AH19" s="78">
        <f>'SIVILASMA ONCESI'!O15</f>
        <v>38.700000000000003</v>
      </c>
      <c r="AI19" s="38">
        <f t="shared" si="19"/>
        <v>0.56330749354005161</v>
      </c>
    </row>
    <row r="20" spans="2:35" s="39" customFormat="1" ht="15.75" x14ac:dyDescent="0.25">
      <c r="B20" s="43">
        <f>'SIVILASMA ONCESI'!B16</f>
        <v>8</v>
      </c>
      <c r="C20" s="44">
        <f>'SIVILASMA ONCESI'!C16</f>
        <v>12</v>
      </c>
      <c r="D20" s="73" t="str">
        <f>'SIVILASMA ONCESI'!H16</f>
        <v>CIM</v>
      </c>
      <c r="E20" s="74">
        <f>SK!G18</f>
        <v>11</v>
      </c>
      <c r="F20" s="75">
        <f t="shared" si="1"/>
        <v>1</v>
      </c>
      <c r="G20" s="75">
        <f t="shared" si="2"/>
        <v>1</v>
      </c>
      <c r="H20" s="75">
        <f t="shared" si="3"/>
        <v>1.1000000000000001</v>
      </c>
      <c r="I20" s="44">
        <f t="shared" si="4"/>
        <v>1</v>
      </c>
      <c r="J20" s="44">
        <f t="shared" si="5"/>
        <v>12.100000000000001</v>
      </c>
      <c r="K20" s="91">
        <f>IF(B20=0," ",C20*'SIVILASMA ONCESI'!T16)</f>
        <v>179.11908646003263</v>
      </c>
      <c r="L20" s="91">
        <f t="shared" si="6"/>
        <v>81.019086460032625</v>
      </c>
      <c r="M20" s="91">
        <f t="shared" si="7"/>
        <v>1</v>
      </c>
      <c r="N20" s="91">
        <f t="shared" si="8"/>
        <v>12.100000000000001</v>
      </c>
      <c r="O20" s="91">
        <f>IF(B20=0," ",IF('SIVILASMA ONCESI'!N16&lt;5,0,IF('SIVILASMA ONCESI'!N16&gt;35,5,2.71828^(1.76-190/'SIVILASMA ONCESI'!N16^2))))</f>
        <v>5</v>
      </c>
      <c r="P20" s="91">
        <f>IF(B20=0," ",IF('SIVILASMA ONCESI'!N16&lt;5,1,IF('SIVILASMA ONCESI'!N16&gt;35,1.2,0.99+'SIVILASMA ONCESI'!N16^1.5/1000)))</f>
        <v>1.2</v>
      </c>
      <c r="Q20" s="46">
        <f t="shared" si="9"/>
        <v>19.520000000000003</v>
      </c>
      <c r="R20" s="46">
        <f t="shared" si="10"/>
        <v>0.85359999999999991</v>
      </c>
      <c r="S20" s="46">
        <f t="shared" si="11"/>
        <v>0.12396694214876032</v>
      </c>
      <c r="T20" s="46">
        <f>IF(B20=0," ",SK!$D$5)</f>
        <v>0.81</v>
      </c>
      <c r="U20" s="46">
        <f t="shared" si="12"/>
        <v>0.20951997667599367</v>
      </c>
      <c r="V20" s="46">
        <f t="shared" si="13"/>
        <v>1.192748880379199</v>
      </c>
      <c r="W20" s="46">
        <f t="shared" si="14"/>
        <v>20.24705192179114</v>
      </c>
      <c r="X20" s="46">
        <f t="shared" si="15"/>
        <v>32.199908593800984</v>
      </c>
      <c r="Y20" s="120">
        <f>IF(B20=0," ",('SIVILASMA ONCESI'!O16-'SIVILASMA ONCESI'!L16)/('SIVILASMA ONCESI'!O16-'SIVILASMA ONCESI'!P16))</f>
        <v>0.85635359116022092</v>
      </c>
      <c r="Z20" s="49">
        <f t="shared" si="16"/>
        <v>0.62879221730738188</v>
      </c>
      <c r="AA20" s="46">
        <f>IF(B20="","",IF(OR(ISBLANK(SK!P18),SK!P18="-")," ",SK!M18/SK!P18))</f>
        <v>0.59317585301837272</v>
      </c>
      <c r="AB20" s="51" t="s">
        <v>151</v>
      </c>
      <c r="AC20" s="94" t="s">
        <v>155</v>
      </c>
      <c r="AD20" s="49">
        <f t="shared" si="17"/>
        <v>12</v>
      </c>
      <c r="AE20" s="55"/>
      <c r="AF20" s="73" t="str">
        <f t="shared" si="18"/>
        <v>CIM</v>
      </c>
      <c r="AG20" s="77">
        <f>SK!R18</f>
        <v>18.100000000000001</v>
      </c>
      <c r="AH20" s="78">
        <f>'SIVILASMA ONCESI'!O16</f>
        <v>38.1</v>
      </c>
      <c r="AI20" s="38">
        <f t="shared" si="19"/>
        <v>0.59317585301837272</v>
      </c>
    </row>
    <row r="21" spans="2:35" ht="15.75" x14ac:dyDescent="0.25">
      <c r="B21" s="43">
        <f>'SIVILASMA ONCESI'!B17</f>
        <v>9</v>
      </c>
      <c r="C21" s="44">
        <f>'SIVILASMA ONCESI'!C17</f>
        <v>13.5</v>
      </c>
      <c r="D21" s="73" t="str">
        <f>'SIVILASMA ONCESI'!H17</f>
        <v>CIM</v>
      </c>
      <c r="E21" s="74">
        <f>SK!G19</f>
        <v>35</v>
      </c>
      <c r="F21" s="75">
        <f t="shared" si="1"/>
        <v>1</v>
      </c>
      <c r="G21" s="75">
        <f t="shared" si="2"/>
        <v>1</v>
      </c>
      <c r="H21" s="75">
        <f t="shared" si="3"/>
        <v>1.1000000000000001</v>
      </c>
      <c r="I21" s="44">
        <f t="shared" si="4"/>
        <v>1</v>
      </c>
      <c r="J21" s="44">
        <f t="shared" si="5"/>
        <v>38.5</v>
      </c>
      <c r="K21" s="91">
        <f>IF(B21=0," ",C21*'SIVILASMA ONCESI'!T17)</f>
        <v>202.71915584415584</v>
      </c>
      <c r="L21" s="91">
        <f t="shared" si="6"/>
        <v>89.904155844155824</v>
      </c>
      <c r="M21" s="91">
        <f t="shared" si="7"/>
        <v>1</v>
      </c>
      <c r="N21" s="91">
        <f t="shared" si="8"/>
        <v>38.5</v>
      </c>
      <c r="O21" s="91">
        <f>IF(B21=0," ",IF('SIVILASMA ONCESI'!N17&lt;5,0,IF('SIVILASMA ONCESI'!N17&gt;35,5,2.71828^(1.76-190/'SIVILASMA ONCESI'!N17^2))))</f>
        <v>5</v>
      </c>
      <c r="P21" s="91">
        <f>IF(B21=0," ",IF('SIVILASMA ONCESI'!N17&lt;5,1,IF('SIVILASMA ONCESI'!N17&gt;35,1.2,0.99+'SIVILASMA ONCESI'!N17^1.5/1000)))</f>
        <v>1.2</v>
      </c>
      <c r="Q21" s="46">
        <f t="shared" si="9"/>
        <v>51.199999999999996</v>
      </c>
      <c r="R21" s="46">
        <f t="shared" si="10"/>
        <v>0.81354999999999988</v>
      </c>
      <c r="S21" s="46">
        <f t="shared" si="11"/>
        <v>3.896103896103896E-2</v>
      </c>
      <c r="T21" s="46">
        <f>IF(B21=0," ",SK!$D$5)</f>
        <v>0.81</v>
      </c>
      <c r="U21" s="46">
        <f t="shared" si="12"/>
        <v>0.31628088524954595</v>
      </c>
      <c r="V21" s="46">
        <f t="shared" si="13"/>
        <v>1.192748880379199</v>
      </c>
      <c r="W21" s="46">
        <f t="shared" si="14"/>
        <v>33.915773857738365</v>
      </c>
      <c r="X21" s="46">
        <f t="shared" si="15"/>
        <v>34.732608841314935</v>
      </c>
      <c r="Y21" s="120">
        <f>IF(B21=0," ",('SIVILASMA ONCESI'!O17-'SIVILASMA ONCESI'!L17)/('SIVILASMA ONCESI'!O17-'SIVILASMA ONCESI'!P17))</f>
        <v>0.81094527363184077</v>
      </c>
      <c r="Z21" s="49">
        <f t="shared" si="16"/>
        <v>2</v>
      </c>
      <c r="AA21" s="46">
        <f>IF(B21="","",IF(OR(ISBLANK(SK!P19),SK!P19="-")," ",SK!M19/SK!P19))</f>
        <v>0.58734177215189876</v>
      </c>
      <c r="AB21" s="51" t="s">
        <v>151</v>
      </c>
      <c r="AC21" s="51" t="s">
        <v>73</v>
      </c>
      <c r="AD21" s="49">
        <f t="shared" si="17"/>
        <v>13.5</v>
      </c>
      <c r="AE21" s="55"/>
      <c r="AF21" s="73" t="str">
        <f t="shared" si="18"/>
        <v>CIM</v>
      </c>
      <c r="AG21" s="77">
        <f>SK!R19</f>
        <v>20.100000000000001</v>
      </c>
      <c r="AH21" s="78">
        <f>'SIVILASMA ONCESI'!O17</f>
        <v>39.5</v>
      </c>
      <c r="AI21" s="38">
        <f t="shared" si="19"/>
        <v>0.58734177215189876</v>
      </c>
    </row>
    <row r="22" spans="2:35" ht="15.75" x14ac:dyDescent="0.25">
      <c r="B22" s="43">
        <f>'SIVILASMA ONCESI'!B18</f>
        <v>10</v>
      </c>
      <c r="C22" s="44">
        <f>'SIVILASMA ONCESI'!C18</f>
        <v>15</v>
      </c>
      <c r="D22" s="73" t="str">
        <f>'SIVILASMA ONCESI'!H18</f>
        <v>CIM</v>
      </c>
      <c r="E22" s="74">
        <f>SK!G20</f>
        <v>9</v>
      </c>
      <c r="F22" s="75">
        <f t="shared" si="1"/>
        <v>1</v>
      </c>
      <c r="G22" s="75">
        <f t="shared" si="2"/>
        <v>1</v>
      </c>
      <c r="H22" s="75">
        <f t="shared" si="3"/>
        <v>1.1000000000000001</v>
      </c>
      <c r="I22" s="44">
        <f t="shared" si="4"/>
        <v>1</v>
      </c>
      <c r="J22" s="44">
        <f t="shared" si="5"/>
        <v>9.9</v>
      </c>
      <c r="K22" s="91">
        <f>IF(B22=0," ",C22*'SIVILASMA ONCESI'!T18)</f>
        <v>225.30612244897961</v>
      </c>
      <c r="L22" s="91">
        <f t="shared" si="6"/>
        <v>97.776122448979606</v>
      </c>
      <c r="M22" s="91">
        <f t="shared" si="7"/>
        <v>1</v>
      </c>
      <c r="N22" s="91">
        <f t="shared" si="8"/>
        <v>9.9</v>
      </c>
      <c r="O22" s="91">
        <f>IF(B22=0," ",IF('SIVILASMA ONCESI'!N18&lt;5,0,IF('SIVILASMA ONCESI'!N18&gt;35,5,2.71828^(1.76-190/'SIVILASMA ONCESI'!N18^2))))</f>
        <v>5</v>
      </c>
      <c r="P22" s="91">
        <f>IF(B22=0," ",IF('SIVILASMA ONCESI'!N18&lt;5,1,IF('SIVILASMA ONCESI'!N18&gt;35,1.2,0.99+'SIVILASMA ONCESI'!N18^1.5/1000)))</f>
        <v>1.2</v>
      </c>
      <c r="Q22" s="46">
        <f t="shared" si="9"/>
        <v>16.880000000000003</v>
      </c>
      <c r="R22" s="46">
        <f t="shared" si="10"/>
        <v>0.77349999999999985</v>
      </c>
      <c r="S22" s="46">
        <f t="shared" si="11"/>
        <v>0.15151515151515152</v>
      </c>
      <c r="T22" s="46">
        <f>IF(B22=0," ",SK!$D$5)</f>
        <v>0.81</v>
      </c>
      <c r="U22" s="46">
        <f t="shared" si="12"/>
        <v>0.17954209400976798</v>
      </c>
      <c r="V22" s="46">
        <f t="shared" si="13"/>
        <v>1.192748880379199</v>
      </c>
      <c r="W22" s="46">
        <f t="shared" si="14"/>
        <v>20.938622826687133</v>
      </c>
      <c r="X22" s="46">
        <f t="shared" si="15"/>
        <v>36.702164571428568</v>
      </c>
      <c r="Y22" s="120">
        <f>IF(B22=0," ",('SIVILASMA ONCESI'!O18-'SIVILASMA ONCESI'!L18)/('SIVILASMA ONCESI'!O18-'SIVILASMA ONCESI'!P18))</f>
        <v>0.88202247191011229</v>
      </c>
      <c r="Z22" s="49">
        <f t="shared" si="16"/>
        <v>0.5705010336907258</v>
      </c>
      <c r="AA22" s="46">
        <f>IF(B22="","",IF(OR(ISBLANK(SK!P20),SK!P20="-")," ",SK!M20/SK!P20))</f>
        <v>0.58900523560209417</v>
      </c>
      <c r="AB22" s="51" t="s">
        <v>151</v>
      </c>
      <c r="AC22" s="94" t="s">
        <v>155</v>
      </c>
      <c r="AD22" s="49">
        <f t="shared" si="17"/>
        <v>15</v>
      </c>
      <c r="AE22" s="55"/>
      <c r="AF22" s="73" t="str">
        <f t="shared" si="18"/>
        <v>CIM</v>
      </c>
      <c r="AG22" s="77">
        <f>SK!R20</f>
        <v>17.800000000000004</v>
      </c>
      <c r="AH22" s="78">
        <f>'SIVILASMA ONCESI'!O18</f>
        <v>38.200000000000003</v>
      </c>
      <c r="AI22" s="38">
        <f t="shared" si="19"/>
        <v>0.58900523560209417</v>
      </c>
    </row>
    <row r="23" spans="2:35" ht="15.75" x14ac:dyDescent="0.25">
      <c r="B23" s="43">
        <f>'SIVILASMA ONCESI'!B19</f>
        <v>11</v>
      </c>
      <c r="C23" s="44">
        <f>'SIVILASMA ONCESI'!C19</f>
        <v>16.5</v>
      </c>
      <c r="D23" s="73" t="str">
        <f>'SIVILASMA ONCESI'!H19</f>
        <v>CIM</v>
      </c>
      <c r="E23" s="74">
        <f>SK!G21</f>
        <v>9</v>
      </c>
      <c r="F23" s="75">
        <f t="shared" si="1"/>
        <v>1</v>
      </c>
      <c r="G23" s="75">
        <f t="shared" si="2"/>
        <v>1</v>
      </c>
      <c r="H23" s="75">
        <f t="shared" si="3"/>
        <v>1.1000000000000001</v>
      </c>
      <c r="I23" s="44">
        <f t="shared" si="4"/>
        <v>1</v>
      </c>
      <c r="J23" s="44">
        <f t="shared" si="5"/>
        <v>9.9</v>
      </c>
      <c r="K23" s="91">
        <f>IF(B23=0," ",C23*'SIVILASMA ONCESI'!T19)</f>
        <v>249.10714285714289</v>
      </c>
      <c r="L23" s="91">
        <f t="shared" si="6"/>
        <v>106.86214285714289</v>
      </c>
      <c r="M23" s="91">
        <f t="shared" si="7"/>
        <v>1</v>
      </c>
      <c r="N23" s="91">
        <f t="shared" si="8"/>
        <v>9.9</v>
      </c>
      <c r="O23" s="91">
        <f>IF(B23=0," ",IF('SIVILASMA ONCESI'!N19&lt;5,0,IF('SIVILASMA ONCESI'!N19&gt;35,5,2.71828^(1.76-190/'SIVILASMA ONCESI'!N19^2))))</f>
        <v>5</v>
      </c>
      <c r="P23" s="91">
        <f>IF(B23=0," ",IF('SIVILASMA ONCESI'!N19&lt;5,1,IF('SIVILASMA ONCESI'!N19&gt;35,1.2,0.99+'SIVILASMA ONCESI'!N19^1.5/1000)))</f>
        <v>1.2</v>
      </c>
      <c r="Q23" s="46">
        <f t="shared" si="9"/>
        <v>16.880000000000003</v>
      </c>
      <c r="R23" s="46">
        <f t="shared" si="10"/>
        <v>0.73344999999999994</v>
      </c>
      <c r="S23" s="46">
        <f t="shared" si="11"/>
        <v>0.15151515151515152</v>
      </c>
      <c r="T23" s="46">
        <f>IF(B23=0," ",SK!$D$5)</f>
        <v>0.81</v>
      </c>
      <c r="U23" s="46">
        <f t="shared" si="12"/>
        <v>0.17954209400976798</v>
      </c>
      <c r="V23" s="46">
        <f t="shared" si="13"/>
        <v>1.192748880379199</v>
      </c>
      <c r="W23" s="46">
        <f t="shared" si="14"/>
        <v>22.884381663885716</v>
      </c>
      <c r="X23" s="46">
        <f t="shared" si="15"/>
        <v>38.478227705357149</v>
      </c>
      <c r="Y23" s="120">
        <f>IF(B23=0," ",('SIVILASMA ONCESI'!O19-'SIVILASMA ONCESI'!L19)/('SIVILASMA ONCESI'!O19-'SIVILASMA ONCESI'!P19))</f>
        <v>0.82412060301507539</v>
      </c>
      <c r="Z23" s="49">
        <f t="shared" si="16"/>
        <v>0.59473585527692141</v>
      </c>
      <c r="AA23" s="46">
        <f>IF(B23="","",IF(OR(ISBLANK(SK!P21),SK!P21="-")," ",SK!M21/SK!P21))</f>
        <v>0.58585858585858586</v>
      </c>
      <c r="AB23" s="51" t="s">
        <v>151</v>
      </c>
      <c r="AC23" s="51" t="s">
        <v>73</v>
      </c>
      <c r="AD23" s="49">
        <f t="shared" si="17"/>
        <v>16.5</v>
      </c>
      <c r="AE23" s="55"/>
      <c r="AF23" s="73" t="str">
        <f t="shared" si="18"/>
        <v>CIM</v>
      </c>
      <c r="AG23" s="77">
        <f>SK!R21</f>
        <v>19.900000000000002</v>
      </c>
      <c r="AH23" s="78">
        <f>'SIVILASMA ONCESI'!O19</f>
        <v>39.6</v>
      </c>
      <c r="AI23" s="38">
        <f t="shared" si="19"/>
        <v>0.58585858585858586</v>
      </c>
    </row>
    <row r="24" spans="2:35" ht="15.75" x14ac:dyDescent="0.25">
      <c r="B24" s="43">
        <f>'SIVILASMA ONCESI'!B20</f>
        <v>12</v>
      </c>
      <c r="C24" s="44">
        <f>'SIVILASMA ONCESI'!C20</f>
        <v>18</v>
      </c>
      <c r="D24" s="73" t="str">
        <f>'SIVILASMA ONCESI'!H20</f>
        <v>CIM</v>
      </c>
      <c r="E24" s="74">
        <f>SK!G22</f>
        <v>22</v>
      </c>
      <c r="F24" s="75">
        <f t="shared" si="1"/>
        <v>1</v>
      </c>
      <c r="G24" s="75">
        <f t="shared" si="2"/>
        <v>1</v>
      </c>
      <c r="H24" s="75">
        <f t="shared" si="3"/>
        <v>1.1000000000000001</v>
      </c>
      <c r="I24" s="44">
        <f t="shared" si="4"/>
        <v>1</v>
      </c>
      <c r="J24" s="44">
        <f t="shared" si="5"/>
        <v>24.200000000000003</v>
      </c>
      <c r="K24" s="91">
        <f>IF(B24=0," ",C24*'SIVILASMA ONCESI'!T20)</f>
        <v>275</v>
      </c>
      <c r="L24" s="91">
        <f t="shared" si="6"/>
        <v>118.03999999999999</v>
      </c>
      <c r="M24" s="91">
        <f t="shared" si="7"/>
        <v>1</v>
      </c>
      <c r="N24" s="91">
        <f t="shared" si="8"/>
        <v>24.200000000000003</v>
      </c>
      <c r="O24" s="91">
        <f>IF(B24=0," ",IF('SIVILASMA ONCESI'!N20&lt;5,0,IF('SIVILASMA ONCESI'!N20&gt;35,5,2.71828^(1.76-190/'SIVILASMA ONCESI'!N20^2))))</f>
        <v>5</v>
      </c>
      <c r="P24" s="91">
        <f>IF(B24=0," ",IF('SIVILASMA ONCESI'!N20&lt;5,1,IF('SIVILASMA ONCESI'!N20&gt;35,1.2,0.99+'SIVILASMA ONCESI'!N20^1.5/1000)))</f>
        <v>1.2</v>
      </c>
      <c r="Q24" s="46">
        <f t="shared" si="9"/>
        <v>34.040000000000006</v>
      </c>
      <c r="R24" s="46">
        <f t="shared" si="10"/>
        <v>0.69339999999999991</v>
      </c>
      <c r="S24" s="46">
        <f t="shared" si="11"/>
        <v>6.198347107438016E-2</v>
      </c>
      <c r="T24" s="46">
        <f>IF(B24=0," ",SK!$D$5)</f>
        <v>0.81</v>
      </c>
      <c r="U24" s="46">
        <f t="shared" si="12"/>
        <v>-24.752515226679531</v>
      </c>
      <c r="V24" s="46">
        <f t="shared" si="13"/>
        <v>1.192748880379199</v>
      </c>
      <c r="W24" s="50">
        <f t="shared" si="14"/>
        <v>-3484.9580505294753</v>
      </c>
      <c r="X24" s="46">
        <f t="shared" si="15"/>
        <v>40.158260999999996</v>
      </c>
      <c r="Y24" s="120">
        <f>IF(B24=0," ",('SIVILASMA ONCESI'!O20-'SIVILASMA ONCESI'!L20)/('SIVILASMA ONCESI'!O20-'SIVILASMA ONCESI'!P20))</f>
        <v>0.88700564971751417</v>
      </c>
      <c r="Z24" s="49">
        <f t="shared" si="16"/>
        <v>2</v>
      </c>
      <c r="AA24" s="46">
        <f>IF(B24="","",IF(OR(ISBLANK(SK!P22),SK!P22="-")," ",SK!M22/SK!P22))</f>
        <v>0.5879265091863517</v>
      </c>
      <c r="AB24" s="51" t="s">
        <v>151</v>
      </c>
      <c r="AC24" s="51" t="s">
        <v>73</v>
      </c>
      <c r="AD24" s="49">
        <f t="shared" si="17"/>
        <v>18</v>
      </c>
      <c r="AE24" s="55"/>
      <c r="AF24" s="73" t="str">
        <f t="shared" si="18"/>
        <v>CIM</v>
      </c>
      <c r="AG24" s="77">
        <f>SK!R22</f>
        <v>17.700000000000003</v>
      </c>
      <c r="AH24" s="78">
        <f>'SIVILASMA ONCESI'!O20</f>
        <v>38.1</v>
      </c>
      <c r="AI24" s="38">
        <f t="shared" si="19"/>
        <v>0.5879265091863517</v>
      </c>
    </row>
    <row r="25" spans="2:35" ht="15.75" x14ac:dyDescent="0.25">
      <c r="B25" s="43">
        <f>'SIVILASMA ONCESI'!B21</f>
        <v>13</v>
      </c>
      <c r="C25" s="44">
        <f>'SIVILASMA ONCESI'!C21</f>
        <v>19.5</v>
      </c>
      <c r="D25" s="73" t="str">
        <f>'SIVILASMA ONCESI'!H21</f>
        <v>CIM</v>
      </c>
      <c r="E25" s="74">
        <f>SK!G23</f>
        <v>25</v>
      </c>
      <c r="F25" s="75">
        <f t="shared" si="1"/>
        <v>1</v>
      </c>
      <c r="G25" s="75">
        <f t="shared" si="2"/>
        <v>1</v>
      </c>
      <c r="H25" s="75">
        <f t="shared" si="3"/>
        <v>1.1000000000000001</v>
      </c>
      <c r="I25" s="44">
        <f t="shared" si="4"/>
        <v>1</v>
      </c>
      <c r="J25" s="44">
        <f t="shared" si="5"/>
        <v>27.500000000000004</v>
      </c>
      <c r="K25" s="91">
        <f>IF(B25=0," ",C25*'SIVILASMA ONCESI'!T21)</f>
        <v>292.10526315789474</v>
      </c>
      <c r="L25" s="91">
        <f t="shared" si="6"/>
        <v>120.43026315789473</v>
      </c>
      <c r="M25" s="91">
        <f t="shared" si="7"/>
        <v>1</v>
      </c>
      <c r="N25" s="91">
        <f t="shared" si="8"/>
        <v>27.500000000000004</v>
      </c>
      <c r="O25" s="91">
        <f>IF(B25=0," ",IF('SIVILASMA ONCESI'!N21&lt;5,0,IF('SIVILASMA ONCESI'!N21&gt;35,5,2.71828^(1.76-190/'SIVILASMA ONCESI'!N21^2))))</f>
        <v>5</v>
      </c>
      <c r="P25" s="91">
        <f>IF(B25=0," ",IF('SIVILASMA ONCESI'!N21&lt;5,1,IF('SIVILASMA ONCESI'!N21&gt;35,1.2,0.99+'SIVILASMA ONCESI'!N21^1.5/1000)))</f>
        <v>1.2</v>
      </c>
      <c r="Q25" s="46">
        <f t="shared" si="9"/>
        <v>38</v>
      </c>
      <c r="R25" s="46">
        <f t="shared" si="10"/>
        <v>0.65334999999999988</v>
      </c>
      <c r="S25" s="46">
        <f t="shared" si="11"/>
        <v>5.4545454545454536E-2</v>
      </c>
      <c r="T25" s="46">
        <f>IF(B25=0," ",SK!$D$5)</f>
        <v>0.81</v>
      </c>
      <c r="U25" s="46">
        <f t="shared" si="12"/>
        <v>2.6758298090478038E-2</v>
      </c>
      <c r="V25" s="46">
        <f t="shared" si="13"/>
        <v>1.192748880379199</v>
      </c>
      <c r="W25" s="46">
        <f t="shared" si="14"/>
        <v>3.8436438594593914</v>
      </c>
      <c r="X25" s="46">
        <f t="shared" si="15"/>
        <v>40.192372657894737</v>
      </c>
      <c r="Y25" s="120">
        <f>IF(B25=0," ",('SIVILASMA ONCESI'!O21-'SIVILASMA ONCESI'!L21)/('SIVILASMA ONCESI'!O21-'SIVILASMA ONCESI'!P21))</f>
        <v>0.81871345029239762</v>
      </c>
      <c r="Z25" s="49">
        <f t="shared" si="16"/>
        <v>2</v>
      </c>
      <c r="AA25" s="46">
        <f>IF(B25="","",IF(OR(ISBLANK(SK!P23),SK!P23="-")," ",SK!M23/SK!P23))</f>
        <v>0.62666666666666671</v>
      </c>
      <c r="AB25" s="51" t="s">
        <v>151</v>
      </c>
      <c r="AC25" s="51" t="s">
        <v>73</v>
      </c>
      <c r="AD25" s="44">
        <f t="shared" si="17"/>
        <v>19.5</v>
      </c>
      <c r="AE25" s="79"/>
      <c r="AF25" s="73" t="str">
        <f t="shared" si="18"/>
        <v>CIM</v>
      </c>
      <c r="AG25" s="77">
        <f>SK!R23</f>
        <v>17.100000000000001</v>
      </c>
      <c r="AH25" s="78">
        <f>'SIVILASMA ONCESI'!O21</f>
        <v>37.5</v>
      </c>
      <c r="AI25" s="38">
        <f t="shared" si="19"/>
        <v>0.62666666666666671</v>
      </c>
    </row>
    <row r="26" spans="2:35" ht="15.75" x14ac:dyDescent="0.25">
      <c r="B26" s="43">
        <f>'SIVILASMA ONCESI'!B22</f>
        <v>0</v>
      </c>
      <c r="C26" s="44" t="str">
        <f>'SIVILASMA ONCESI'!C22</f>
        <v/>
      </c>
      <c r="D26" s="73">
        <f>'SIVILASMA ONCESI'!H22</f>
        <v>0</v>
      </c>
      <c r="E26" s="80" t="str">
        <f>SK!G24</f>
        <v/>
      </c>
      <c r="F26" s="81" t="str">
        <f t="shared" si="1"/>
        <v xml:space="preserve"> </v>
      </c>
      <c r="G26" s="81" t="str">
        <f t="shared" si="2"/>
        <v xml:space="preserve"> </v>
      </c>
      <c r="H26" s="81" t="str">
        <f t="shared" si="3"/>
        <v xml:space="preserve"> </v>
      </c>
      <c r="I26" s="44" t="str">
        <f t="shared" si="4"/>
        <v xml:space="preserve"> </v>
      </c>
      <c r="J26" s="44" t="str">
        <f t="shared" si="5"/>
        <v xml:space="preserve"> </v>
      </c>
      <c r="K26" s="91" t="str">
        <f>IF(B26=0," ",C26*'SIVILASMA ONCESI'!T22)</f>
        <v xml:space="preserve"> </v>
      </c>
      <c r="L26" s="91" t="str">
        <f t="shared" si="6"/>
        <v xml:space="preserve"> </v>
      </c>
      <c r="M26" s="91" t="str">
        <f t="shared" si="7"/>
        <v/>
      </c>
      <c r="N26" s="91" t="str">
        <f t="shared" si="8"/>
        <v xml:space="preserve"> </v>
      </c>
      <c r="O26" s="91" t="str">
        <f>IF(B26=0," ",IF('SIVILASMA ONCESI'!N22&lt;5,0,IF('SIVILASMA ONCESI'!N22&gt;35,5,2.71828^(1.76-190/'SIVILASMA ONCESI'!N22^2))))</f>
        <v xml:space="preserve"> </v>
      </c>
      <c r="P26" s="91" t="str">
        <f>IF(B26=0," ",IF('SIVILASMA ONCESI'!N22&lt;5,1,IF('SIVILASMA ONCESI'!N22&gt;35,1.2,0.99+'SIVILASMA ONCESI'!N22^1.5/1000)))</f>
        <v xml:space="preserve"> </v>
      </c>
      <c r="Q26" s="46" t="str">
        <f t="shared" si="9"/>
        <v xml:space="preserve"> </v>
      </c>
      <c r="R26" s="46" t="str">
        <f t="shared" si="10"/>
        <v xml:space="preserve"> </v>
      </c>
      <c r="S26" s="46" t="str">
        <f t="shared" si="11"/>
        <v xml:space="preserve"> </v>
      </c>
      <c r="T26" s="46" t="str">
        <f>IF(B26=0," ",SK!$D$5)</f>
        <v xml:space="preserve"> </v>
      </c>
      <c r="U26" s="46" t="str">
        <f t="shared" si="12"/>
        <v xml:space="preserve"> </v>
      </c>
      <c r="V26" s="46" t="str">
        <f t="shared" si="13"/>
        <v xml:space="preserve"> </v>
      </c>
      <c r="W26" s="46" t="str">
        <f t="shared" si="14"/>
        <v xml:space="preserve"> </v>
      </c>
      <c r="X26" s="46" t="str">
        <f t="shared" si="15"/>
        <v xml:space="preserve"> </v>
      </c>
      <c r="Y26" s="120" t="str">
        <f>IF(B26=0," ",('SIVILASMA ONCESI'!O22-'SIVILASMA ONCESI'!L22)/('SIVILASMA ONCESI'!O22-'SIVILASMA ONCESI'!P22))</f>
        <v xml:space="preserve"> </v>
      </c>
      <c r="Z26" s="49" t="str">
        <f t="shared" si="16"/>
        <v xml:space="preserve"> </v>
      </c>
      <c r="AA26" s="46" t="str">
        <f>IF(B26="","",IF(OR(ISBLANK(SK!P24),SK!P24="-")," ",SK!M24/SK!P24))</f>
        <v xml:space="preserve"> </v>
      </c>
      <c r="AB26" s="46"/>
      <c r="AC26" s="46"/>
      <c r="AD26" s="44" t="str">
        <f t="shared" si="17"/>
        <v/>
      </c>
      <c r="AE26" s="79"/>
      <c r="AF26" s="73">
        <f t="shared" si="18"/>
        <v>0</v>
      </c>
      <c r="AG26" s="77" t="str">
        <f>SK!R24</f>
        <v/>
      </c>
      <c r="AH26" s="78">
        <f>'SIVILASMA ONCESI'!O22</f>
        <v>0</v>
      </c>
      <c r="AI26" s="38" t="str">
        <f t="shared" si="19"/>
        <v xml:space="preserve"> </v>
      </c>
    </row>
    <row r="27" spans="2:35" ht="15.75" x14ac:dyDescent="0.25">
      <c r="B27" s="43">
        <f>'SIVILASMA ONCESI'!B23</f>
        <v>0</v>
      </c>
      <c r="C27" s="44">
        <f>'SIVILASMA ONCESI'!C23</f>
        <v>0</v>
      </c>
      <c r="D27" s="73">
        <f>'SIVILASMA ONCESI'!H23</f>
        <v>0</v>
      </c>
      <c r="E27" s="80" t="str">
        <f>SK!G25</f>
        <v/>
      </c>
      <c r="F27" s="81" t="str">
        <f t="shared" si="1"/>
        <v xml:space="preserve"> </v>
      </c>
      <c r="G27" s="81" t="str">
        <f t="shared" si="2"/>
        <v xml:space="preserve"> </v>
      </c>
      <c r="H27" s="81" t="str">
        <f t="shared" si="3"/>
        <v xml:space="preserve"> </v>
      </c>
      <c r="I27" s="44" t="str">
        <f t="shared" si="4"/>
        <v xml:space="preserve"> </v>
      </c>
      <c r="J27" s="44" t="str">
        <f t="shared" si="5"/>
        <v xml:space="preserve"> </v>
      </c>
      <c r="K27" s="91" t="str">
        <f>IF(B27=0," ",C27*'SIVILASMA ONCESI'!T23)</f>
        <v xml:space="preserve"> </v>
      </c>
      <c r="L27" s="91" t="str">
        <f t="shared" si="6"/>
        <v xml:space="preserve"> </v>
      </c>
      <c r="M27" s="91" t="str">
        <f t="shared" si="7"/>
        <v/>
      </c>
      <c r="N27" s="91" t="str">
        <f t="shared" si="8"/>
        <v xml:space="preserve"> </v>
      </c>
      <c r="O27" s="91" t="str">
        <f>IF(B27=0," ",IF('SIVILASMA ONCESI'!N23&lt;5,0,IF('SIVILASMA ONCESI'!N23&gt;35,5,2.71828^(1.76-190/'SIVILASMA ONCESI'!N23^2))))</f>
        <v xml:space="preserve"> </v>
      </c>
      <c r="P27" s="91" t="str">
        <f>IF(B27=0," ",IF('SIVILASMA ONCESI'!N23&lt;5,1,IF('SIVILASMA ONCESI'!N23&gt;35,1.2,0.99+'SIVILASMA ONCESI'!N23^1.5/1000)))</f>
        <v xml:space="preserve"> </v>
      </c>
      <c r="Q27" s="46" t="str">
        <f t="shared" si="9"/>
        <v xml:space="preserve"> </v>
      </c>
      <c r="R27" s="46" t="str">
        <f t="shared" si="10"/>
        <v xml:space="preserve"> </v>
      </c>
      <c r="S27" s="46" t="str">
        <f t="shared" si="11"/>
        <v xml:space="preserve"> </v>
      </c>
      <c r="T27" s="46" t="str">
        <f>IF(B27=0," ",SK!$D$5)</f>
        <v xml:space="preserve"> </v>
      </c>
      <c r="U27" s="46" t="str">
        <f t="shared" si="12"/>
        <v xml:space="preserve"> </v>
      </c>
      <c r="V27" s="46" t="str">
        <f t="shared" si="13"/>
        <v xml:space="preserve"> </v>
      </c>
      <c r="W27" s="46" t="str">
        <f t="shared" si="14"/>
        <v xml:space="preserve"> </v>
      </c>
      <c r="X27" s="46" t="str">
        <f t="shared" si="15"/>
        <v xml:space="preserve"> </v>
      </c>
      <c r="Y27" s="120" t="str">
        <f>IF(B27=0," ",('SIVILASMA ONCESI'!O23-'SIVILASMA ONCESI'!L23)/('SIVILASMA ONCESI'!O23-'SIVILASMA ONCESI'!P23))</f>
        <v xml:space="preserve"> </v>
      </c>
      <c r="Z27" s="49" t="str">
        <f t="shared" si="16"/>
        <v xml:space="preserve"> </v>
      </c>
      <c r="AA27" s="46" t="str">
        <f>IF(B27="","",IF(OR(ISBLANK(SK!P25),SK!P25="-")," ",SK!M25/SK!P25))</f>
        <v xml:space="preserve"> </v>
      </c>
      <c r="AB27" s="46"/>
      <c r="AC27" s="46"/>
      <c r="AD27" s="44">
        <f t="shared" si="17"/>
        <v>0</v>
      </c>
      <c r="AE27" s="79"/>
      <c r="AF27" s="73">
        <f t="shared" si="18"/>
        <v>0</v>
      </c>
      <c r="AG27" s="77" t="str">
        <f>SK!R25</f>
        <v/>
      </c>
      <c r="AH27" s="78">
        <f>'SIVILASMA ONCESI'!O23</f>
        <v>0</v>
      </c>
      <c r="AI27" s="38" t="str">
        <f t="shared" si="19"/>
        <v xml:space="preserve"> </v>
      </c>
    </row>
    <row r="28" spans="2:35" ht="15.75" x14ac:dyDescent="0.25">
      <c r="B28" s="43">
        <f>'SIVILASMA ONCESI'!B24</f>
        <v>0</v>
      </c>
      <c r="C28" s="44">
        <f>'SIVILASMA ONCESI'!C24</f>
        <v>0</v>
      </c>
      <c r="D28" s="73">
        <f>'SIVILASMA ONCESI'!H24</f>
        <v>0</v>
      </c>
      <c r="E28" s="80" t="str">
        <f>SK!G26</f>
        <v/>
      </c>
      <c r="F28" s="81" t="str">
        <f t="shared" si="1"/>
        <v xml:space="preserve"> </v>
      </c>
      <c r="G28" s="81" t="str">
        <f t="shared" si="2"/>
        <v xml:space="preserve"> </v>
      </c>
      <c r="H28" s="81" t="str">
        <f t="shared" si="3"/>
        <v xml:space="preserve"> </v>
      </c>
      <c r="I28" s="44" t="str">
        <f t="shared" si="4"/>
        <v xml:space="preserve"> </v>
      </c>
      <c r="J28" s="44" t="str">
        <f t="shared" si="5"/>
        <v xml:space="preserve"> </v>
      </c>
      <c r="K28" s="91" t="str">
        <f>IF(B28=0," ",C28*'SIVILASMA ONCESI'!T24)</f>
        <v xml:space="preserve"> </v>
      </c>
      <c r="L28" s="91" t="str">
        <f t="shared" si="6"/>
        <v xml:space="preserve"> </v>
      </c>
      <c r="M28" s="91" t="str">
        <f t="shared" si="7"/>
        <v/>
      </c>
      <c r="N28" s="91" t="str">
        <f t="shared" si="8"/>
        <v xml:space="preserve"> </v>
      </c>
      <c r="O28" s="91" t="str">
        <f>IF(B28=0," ",IF('SIVILASMA ONCESI'!N24&lt;5,0,IF('SIVILASMA ONCESI'!N24&gt;35,5,2.71828^(1.76-190/'SIVILASMA ONCESI'!N24^2))))</f>
        <v xml:space="preserve"> </v>
      </c>
      <c r="P28" s="91" t="str">
        <f>IF(B28=0," ",IF('SIVILASMA ONCESI'!N24&lt;5,1,IF('SIVILASMA ONCESI'!N24&gt;35,1.2,0.99+'SIVILASMA ONCESI'!N24^1.5/1000)))</f>
        <v xml:space="preserve"> </v>
      </c>
      <c r="Q28" s="46" t="str">
        <f t="shared" si="9"/>
        <v xml:space="preserve"> </v>
      </c>
      <c r="R28" s="46" t="str">
        <f t="shared" si="10"/>
        <v xml:space="preserve"> </v>
      </c>
      <c r="S28" s="46" t="str">
        <f t="shared" si="11"/>
        <v xml:space="preserve"> </v>
      </c>
      <c r="T28" s="46" t="str">
        <f>IF(B28=0," ",SK!$D$5)</f>
        <v xml:space="preserve"> </v>
      </c>
      <c r="U28" s="46" t="str">
        <f t="shared" si="12"/>
        <v xml:space="preserve"> </v>
      </c>
      <c r="V28" s="46" t="str">
        <f t="shared" si="13"/>
        <v xml:space="preserve"> </v>
      </c>
      <c r="W28" s="46" t="str">
        <f t="shared" si="14"/>
        <v xml:space="preserve"> </v>
      </c>
      <c r="X28" s="46" t="str">
        <f t="shared" si="15"/>
        <v xml:space="preserve"> </v>
      </c>
      <c r="Y28" s="120" t="str">
        <f>IF(B28=0," ",('SIVILASMA ONCESI'!O24-'SIVILASMA ONCESI'!L24)/('SIVILASMA ONCESI'!O24-'SIVILASMA ONCESI'!P24))</f>
        <v xml:space="preserve"> </v>
      </c>
      <c r="Z28" s="49" t="str">
        <f t="shared" si="16"/>
        <v xml:space="preserve"> </v>
      </c>
      <c r="AA28" s="46" t="str">
        <f>IF(B28="","",IF(OR(ISBLANK(SK!P26),SK!P26="-")," ",SK!M26/SK!P26))</f>
        <v xml:space="preserve"> </v>
      </c>
      <c r="AB28" s="46"/>
      <c r="AC28" s="46"/>
      <c r="AD28" s="44">
        <f t="shared" si="17"/>
        <v>0</v>
      </c>
      <c r="AE28" s="79"/>
      <c r="AF28" s="73">
        <f t="shared" si="18"/>
        <v>0</v>
      </c>
      <c r="AG28" s="77" t="str">
        <f>SK!R26</f>
        <v/>
      </c>
      <c r="AH28" s="78">
        <f>'SIVILASMA ONCESI'!O24</f>
        <v>0</v>
      </c>
      <c r="AI28" s="38" t="str">
        <f t="shared" si="19"/>
        <v xml:space="preserve"> </v>
      </c>
    </row>
    <row r="29" spans="2:35" ht="15.75" x14ac:dyDescent="0.25">
      <c r="B29" s="43">
        <f>'SIVILASMA ONCESI'!B25</f>
        <v>0</v>
      </c>
      <c r="C29" s="44">
        <f>'SIVILASMA ONCESI'!C25</f>
        <v>0</v>
      </c>
      <c r="D29" s="73">
        <f>'SIVILASMA ONCESI'!H25</f>
        <v>0</v>
      </c>
      <c r="E29" s="80" t="str">
        <f>SK!G27</f>
        <v/>
      </c>
      <c r="F29" s="81" t="str">
        <f t="shared" si="1"/>
        <v xml:space="preserve"> </v>
      </c>
      <c r="G29" s="81" t="str">
        <f t="shared" si="2"/>
        <v xml:space="preserve"> </v>
      </c>
      <c r="H29" s="81" t="str">
        <f t="shared" si="3"/>
        <v xml:space="preserve"> </v>
      </c>
      <c r="I29" s="44" t="str">
        <f t="shared" si="4"/>
        <v xml:space="preserve"> </v>
      </c>
      <c r="J29" s="44" t="str">
        <f t="shared" si="5"/>
        <v xml:space="preserve"> </v>
      </c>
      <c r="K29" s="91" t="str">
        <f>IF(B29=0," ",C29*'SIVILASMA ONCESI'!T25)</f>
        <v xml:space="preserve"> </v>
      </c>
      <c r="L29" s="91" t="str">
        <f t="shared" si="6"/>
        <v xml:space="preserve"> </v>
      </c>
      <c r="M29" s="91" t="str">
        <f t="shared" si="7"/>
        <v/>
      </c>
      <c r="N29" s="91" t="str">
        <f t="shared" si="8"/>
        <v xml:space="preserve"> </v>
      </c>
      <c r="O29" s="91" t="str">
        <f>IF(B29=0," ",IF('SIVILASMA ONCESI'!N25&lt;5,0,IF('SIVILASMA ONCESI'!N25&gt;35,5,2.71828^(1.76-190/'SIVILASMA ONCESI'!N25^2))))</f>
        <v xml:space="preserve"> </v>
      </c>
      <c r="P29" s="91" t="str">
        <f>IF(B29=0," ",IF('SIVILASMA ONCESI'!N25&lt;5,1,IF('SIVILASMA ONCESI'!N25&gt;35,1.2,0.99+'SIVILASMA ONCESI'!N25^1.5/1000)))</f>
        <v xml:space="preserve"> </v>
      </c>
      <c r="Q29" s="46" t="str">
        <f t="shared" si="9"/>
        <v xml:space="preserve"> </v>
      </c>
      <c r="R29" s="46" t="str">
        <f t="shared" si="10"/>
        <v xml:space="preserve"> </v>
      </c>
      <c r="S29" s="46" t="str">
        <f t="shared" si="11"/>
        <v xml:space="preserve"> </v>
      </c>
      <c r="T29" s="46" t="str">
        <f>IF(B29=0," ",SK!$D$5)</f>
        <v xml:space="preserve"> </v>
      </c>
      <c r="U29" s="46" t="str">
        <f t="shared" si="12"/>
        <v xml:space="preserve"> </v>
      </c>
      <c r="V29" s="46" t="str">
        <f t="shared" si="13"/>
        <v xml:space="preserve"> </v>
      </c>
      <c r="W29" s="46" t="str">
        <f t="shared" si="14"/>
        <v xml:space="preserve"> </v>
      </c>
      <c r="X29" s="46" t="str">
        <f t="shared" si="15"/>
        <v xml:space="preserve"> </v>
      </c>
      <c r="Y29" s="120" t="str">
        <f>IF(B29=0," ",('SIVILASMA ONCESI'!O25-'SIVILASMA ONCESI'!L25)/('SIVILASMA ONCESI'!O25-'SIVILASMA ONCESI'!P25))</f>
        <v xml:space="preserve"> </v>
      </c>
      <c r="Z29" s="49" t="str">
        <f t="shared" si="16"/>
        <v xml:space="preserve"> </v>
      </c>
      <c r="AA29" s="46" t="str">
        <f>IF(B29="","",IF(OR(ISBLANK(SK!P27),SK!P27="-")," ",SK!M27/SK!P27))</f>
        <v xml:space="preserve"> </v>
      </c>
      <c r="AB29" s="46"/>
      <c r="AC29" s="46"/>
      <c r="AD29" s="44">
        <f t="shared" si="17"/>
        <v>0</v>
      </c>
      <c r="AE29" s="79"/>
      <c r="AF29" s="73">
        <f t="shared" si="18"/>
        <v>0</v>
      </c>
      <c r="AG29" s="77" t="str">
        <f>SK!R27</f>
        <v/>
      </c>
      <c r="AH29" s="78">
        <f>'SIVILASMA ONCESI'!O25</f>
        <v>0</v>
      </c>
      <c r="AI29" s="38" t="str">
        <f t="shared" si="19"/>
        <v xml:space="preserve"> </v>
      </c>
    </row>
    <row r="30" spans="2:35" ht="15.75" x14ac:dyDescent="0.25">
      <c r="B30" s="43">
        <f>'SIVILASMA ONCESI'!B26</f>
        <v>0</v>
      </c>
      <c r="C30" s="44">
        <f>'SIVILASMA ONCESI'!C26</f>
        <v>0</v>
      </c>
      <c r="D30" s="73">
        <f>'SIVILASMA ONCESI'!H26</f>
        <v>0</v>
      </c>
      <c r="E30" s="80" t="str">
        <f>SK!G28</f>
        <v/>
      </c>
      <c r="F30" s="81" t="str">
        <f t="shared" si="1"/>
        <v xml:space="preserve"> </v>
      </c>
      <c r="G30" s="81" t="str">
        <f t="shared" si="2"/>
        <v xml:space="preserve"> </v>
      </c>
      <c r="H30" s="81" t="str">
        <f t="shared" si="3"/>
        <v xml:space="preserve"> </v>
      </c>
      <c r="I30" s="44" t="str">
        <f t="shared" si="4"/>
        <v xml:space="preserve"> </v>
      </c>
      <c r="J30" s="44" t="str">
        <f t="shared" si="5"/>
        <v xml:space="preserve"> </v>
      </c>
      <c r="K30" s="91" t="str">
        <f>IF(B30=0," ",C30*'SIVILASMA ONCESI'!T26)</f>
        <v xml:space="preserve"> </v>
      </c>
      <c r="L30" s="91" t="str">
        <f t="shared" si="6"/>
        <v xml:space="preserve"> </v>
      </c>
      <c r="M30" s="91" t="str">
        <f t="shared" si="7"/>
        <v/>
      </c>
      <c r="N30" s="91" t="str">
        <f t="shared" si="8"/>
        <v xml:space="preserve"> </v>
      </c>
      <c r="O30" s="91" t="str">
        <f>IF(B30=0," ",IF('SIVILASMA ONCESI'!N26&lt;5,0,IF('SIVILASMA ONCESI'!N26&gt;35,5,2.71828^(1.76-190/'SIVILASMA ONCESI'!N26^2))))</f>
        <v xml:space="preserve"> </v>
      </c>
      <c r="P30" s="91" t="str">
        <f>IF(B30=0," ",IF('SIVILASMA ONCESI'!N26&lt;5,1,IF('SIVILASMA ONCESI'!N26&gt;35,1.2,0.99+'SIVILASMA ONCESI'!N26^1.5/1000)))</f>
        <v xml:space="preserve"> </v>
      </c>
      <c r="Q30" s="46" t="str">
        <f t="shared" si="9"/>
        <v xml:space="preserve"> </v>
      </c>
      <c r="R30" s="46" t="str">
        <f t="shared" si="10"/>
        <v xml:space="preserve"> </v>
      </c>
      <c r="S30" s="46" t="str">
        <f t="shared" si="11"/>
        <v xml:space="preserve"> </v>
      </c>
      <c r="T30" s="46" t="str">
        <f>IF(B30=0," ",SK!$D$5)</f>
        <v xml:space="preserve"> </v>
      </c>
      <c r="U30" s="46" t="str">
        <f t="shared" si="12"/>
        <v xml:space="preserve"> </v>
      </c>
      <c r="V30" s="46" t="str">
        <f t="shared" si="13"/>
        <v xml:space="preserve"> </v>
      </c>
      <c r="W30" s="46" t="str">
        <f t="shared" si="14"/>
        <v xml:space="preserve"> </v>
      </c>
      <c r="X30" s="46" t="str">
        <f t="shared" si="15"/>
        <v xml:space="preserve"> </v>
      </c>
      <c r="Y30" s="120" t="str">
        <f>IF(B30=0," ",('SIVILASMA ONCESI'!O26-'SIVILASMA ONCESI'!L26)/('SIVILASMA ONCESI'!O26-'SIVILASMA ONCESI'!P26))</f>
        <v xml:space="preserve"> </v>
      </c>
      <c r="Z30" s="49" t="str">
        <f t="shared" si="16"/>
        <v xml:space="preserve"> </v>
      </c>
      <c r="AA30" s="46" t="str">
        <f>IF(B30="","",IF(OR(ISBLANK(SK!P28),SK!P28="-")," ",SK!M28/SK!P28))</f>
        <v xml:space="preserve"> </v>
      </c>
      <c r="AB30" s="46"/>
      <c r="AC30" s="46"/>
      <c r="AD30" s="44">
        <f t="shared" si="17"/>
        <v>0</v>
      </c>
      <c r="AE30" s="79"/>
      <c r="AF30" s="73">
        <f t="shared" si="18"/>
        <v>0</v>
      </c>
      <c r="AG30" s="77" t="str">
        <f>SK!R28</f>
        <v/>
      </c>
      <c r="AH30" s="78">
        <f>'SIVILASMA ONCESI'!O26</f>
        <v>0</v>
      </c>
      <c r="AI30" s="38" t="str">
        <f t="shared" si="19"/>
        <v xml:space="preserve"> </v>
      </c>
    </row>
    <row r="31" spans="2:35" ht="15.75" x14ac:dyDescent="0.25">
      <c r="B31" s="43">
        <f>'SIVILASMA ONCESI'!B27</f>
        <v>0</v>
      </c>
      <c r="C31" s="44">
        <f>'SIVILASMA ONCESI'!C27</f>
        <v>0</v>
      </c>
      <c r="D31" s="73">
        <f>'SIVILASMA ONCESI'!H27</f>
        <v>0</v>
      </c>
      <c r="E31" s="80" t="str">
        <f>SK!G29</f>
        <v/>
      </c>
      <c r="F31" s="81" t="str">
        <f t="shared" si="1"/>
        <v xml:space="preserve"> </v>
      </c>
      <c r="G31" s="81" t="str">
        <f t="shared" si="2"/>
        <v xml:space="preserve"> </v>
      </c>
      <c r="H31" s="81" t="str">
        <f t="shared" si="3"/>
        <v xml:space="preserve"> </v>
      </c>
      <c r="I31" s="44" t="str">
        <f t="shared" si="4"/>
        <v xml:space="preserve"> </v>
      </c>
      <c r="J31" s="44" t="str">
        <f t="shared" si="5"/>
        <v xml:space="preserve"> </v>
      </c>
      <c r="K31" s="91" t="str">
        <f>IF(B31=0," ",C31*'SIVILASMA ONCESI'!T27)</f>
        <v xml:space="preserve"> </v>
      </c>
      <c r="L31" s="91" t="str">
        <f t="shared" si="6"/>
        <v xml:space="preserve"> </v>
      </c>
      <c r="M31" s="91" t="str">
        <f t="shared" si="7"/>
        <v/>
      </c>
      <c r="N31" s="91" t="str">
        <f t="shared" si="8"/>
        <v xml:space="preserve"> </v>
      </c>
      <c r="O31" s="91" t="str">
        <f>IF(B31=0," ",IF('SIVILASMA ONCESI'!N27&lt;5,0,IF('SIVILASMA ONCESI'!N27&gt;35,5,2.71828^(1.76-190/'SIVILASMA ONCESI'!N27^2))))</f>
        <v xml:space="preserve"> </v>
      </c>
      <c r="P31" s="91" t="str">
        <f>IF(B31=0," ",IF('SIVILASMA ONCESI'!N27&lt;5,1,IF('SIVILASMA ONCESI'!N27&gt;35,1.2,0.99+'SIVILASMA ONCESI'!N27^1.5/1000)))</f>
        <v xml:space="preserve"> </v>
      </c>
      <c r="Q31" s="46" t="str">
        <f t="shared" si="9"/>
        <v xml:space="preserve"> </v>
      </c>
      <c r="R31" s="46" t="str">
        <f t="shared" si="10"/>
        <v xml:space="preserve"> </v>
      </c>
      <c r="S31" s="46" t="str">
        <f t="shared" si="11"/>
        <v xml:space="preserve"> </v>
      </c>
      <c r="T31" s="46" t="str">
        <f>IF(B31=0," ",SK!$D$5)</f>
        <v xml:space="preserve"> </v>
      </c>
      <c r="U31" s="46" t="str">
        <f t="shared" si="12"/>
        <v xml:space="preserve"> </v>
      </c>
      <c r="V31" s="46" t="str">
        <f t="shared" si="13"/>
        <v xml:space="preserve"> </v>
      </c>
      <c r="W31" s="46" t="str">
        <f t="shared" si="14"/>
        <v xml:space="preserve"> </v>
      </c>
      <c r="X31" s="46" t="str">
        <f t="shared" si="15"/>
        <v xml:space="preserve"> </v>
      </c>
      <c r="Y31" s="120" t="str">
        <f>IF(B31=0," ",('SIVILASMA ONCESI'!O27-'SIVILASMA ONCESI'!L27)/('SIVILASMA ONCESI'!O27-'SIVILASMA ONCESI'!P27))</f>
        <v xml:space="preserve"> </v>
      </c>
      <c r="Z31" s="49" t="str">
        <f t="shared" si="16"/>
        <v xml:space="preserve"> </v>
      </c>
      <c r="AA31" s="46" t="str">
        <f>IF(B31="","",IF(OR(ISBLANK(SK!P29),SK!P29="-")," ",SK!M29/SK!P29))</f>
        <v xml:space="preserve"> </v>
      </c>
      <c r="AB31" s="46"/>
      <c r="AC31" s="46"/>
      <c r="AD31" s="44">
        <f t="shared" si="17"/>
        <v>0</v>
      </c>
      <c r="AE31" s="79"/>
      <c r="AF31" s="73">
        <f t="shared" si="18"/>
        <v>0</v>
      </c>
      <c r="AG31" s="77" t="str">
        <f>SK!R29</f>
        <v/>
      </c>
      <c r="AH31" s="78">
        <f>'SIVILASMA ONCESI'!O27</f>
        <v>0</v>
      </c>
      <c r="AI31" s="38" t="str">
        <f t="shared" si="19"/>
        <v xml:space="preserve"> </v>
      </c>
    </row>
    <row r="32" spans="2:35" ht="15.75" x14ac:dyDescent="0.25">
      <c r="B32" s="54"/>
      <c r="C32" s="55"/>
      <c r="D32" s="57"/>
      <c r="E32" s="82"/>
      <c r="F32" s="83"/>
      <c r="G32" s="83"/>
      <c r="H32" s="83"/>
      <c r="I32" s="55"/>
      <c r="J32" s="55"/>
      <c r="K32" s="84"/>
      <c r="L32" s="84"/>
      <c r="M32" s="84"/>
      <c r="N32" s="84"/>
      <c r="O32" s="84"/>
      <c r="P32" s="84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spans="2:30" ht="15.75" x14ac:dyDescent="0.25">
      <c r="B33" s="95"/>
      <c r="C33" s="96"/>
      <c r="D33" s="86" t="s">
        <v>56</v>
      </c>
      <c r="E33" s="87">
        <f>AVERAGE(E13:E31)</f>
        <v>15.153846153846153</v>
      </c>
      <c r="F33" s="88"/>
      <c r="G33" s="88"/>
      <c r="H33" s="88"/>
      <c r="I33" s="97" t="s">
        <v>56</v>
      </c>
      <c r="J33" s="87">
        <f>AVERAGE(J13:J31)</f>
        <v>15.742692307692311</v>
      </c>
      <c r="K33" s="98"/>
      <c r="L33" s="98"/>
      <c r="M33" s="97" t="s">
        <v>56</v>
      </c>
      <c r="N33" s="87">
        <f>AVERAGE(N13:N31)</f>
        <v>16.285057302987262</v>
      </c>
      <c r="O33" s="98"/>
      <c r="P33" s="99" t="s">
        <v>56</v>
      </c>
      <c r="Q33" s="87">
        <f>AVERAGE(Q13:Q31)</f>
        <v>24.542068763584716</v>
      </c>
      <c r="R33" s="119" t="s">
        <v>57</v>
      </c>
      <c r="S33" s="87">
        <f>SUM(S13:S31)</f>
        <v>1.6843654188011068</v>
      </c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100"/>
    </row>
    <row r="34" spans="2:30" ht="15.75" x14ac:dyDescent="0.25">
      <c r="B34" s="101"/>
      <c r="C34" s="102"/>
      <c r="D34" s="57"/>
      <c r="E34" s="82"/>
      <c r="F34" s="83"/>
      <c r="G34" s="83"/>
      <c r="H34" s="83"/>
      <c r="I34" s="102"/>
      <c r="J34" s="102"/>
      <c r="K34" s="98"/>
      <c r="L34" s="98"/>
      <c r="M34" s="98"/>
      <c r="N34" s="98"/>
      <c r="O34" s="98"/>
      <c r="P34" s="98"/>
      <c r="Q34" s="103"/>
      <c r="R34" s="103"/>
      <c r="S34" s="103">
        <f>20/S33</f>
        <v>11.873907987398333</v>
      </c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0"/>
    </row>
    <row r="35" spans="2:30" ht="15.75" x14ac:dyDescent="0.25">
      <c r="B35" s="100" t="s">
        <v>46</v>
      </c>
      <c r="C35" s="100"/>
      <c r="D35" s="100"/>
      <c r="E35" s="100"/>
      <c r="F35" s="100"/>
      <c r="G35" s="100" t="s">
        <v>85</v>
      </c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 spans="2:30" ht="15.75" x14ac:dyDescent="0.25">
      <c r="B36" s="100" t="s">
        <v>50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4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 spans="2:30" ht="15.75" x14ac:dyDescent="0.25"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 spans="2:30" ht="15.75" x14ac:dyDescent="0.25"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 spans="2:30" ht="15.75" x14ac:dyDescent="0.25">
      <c r="B39" s="100"/>
      <c r="C39" s="100"/>
      <c r="D39" s="100"/>
      <c r="E39" s="100"/>
      <c r="F39" s="105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 spans="2:30" ht="15.75" x14ac:dyDescent="0.25">
      <c r="B40" s="140" t="s">
        <v>86</v>
      </c>
      <c r="C40" s="140"/>
      <c r="D40" s="140"/>
      <c r="E40" s="140" t="s">
        <v>87</v>
      </c>
      <c r="F40" s="140"/>
      <c r="G40" s="140"/>
      <c r="H40" s="140"/>
      <c r="I40" s="140" t="s">
        <v>88</v>
      </c>
      <c r="J40" s="140"/>
      <c r="K40" s="140"/>
      <c r="L40" s="140"/>
      <c r="M40" s="140" t="s">
        <v>89</v>
      </c>
      <c r="N40" s="140"/>
      <c r="O40" s="140"/>
      <c r="P40" s="140"/>
      <c r="Q40" s="100"/>
      <c r="R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 spans="2:30" ht="15.75" x14ac:dyDescent="0.25">
      <c r="B41" s="140" t="s">
        <v>90</v>
      </c>
      <c r="C41" s="140"/>
      <c r="D41" s="140"/>
      <c r="E41" s="140" t="s">
        <v>91</v>
      </c>
      <c r="F41" s="140"/>
      <c r="G41" s="140"/>
      <c r="H41" s="140"/>
      <c r="I41" s="140" t="s">
        <v>153</v>
      </c>
      <c r="J41" s="140"/>
      <c r="K41" s="140"/>
      <c r="L41" s="140"/>
      <c r="M41" s="140" t="s">
        <v>100</v>
      </c>
      <c r="N41" s="140"/>
      <c r="O41" s="140"/>
      <c r="P41" s="140"/>
      <c r="Q41" s="100"/>
      <c r="R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 spans="2:30" ht="15.75" x14ac:dyDescent="0.25">
      <c r="B42" s="140" t="s">
        <v>92</v>
      </c>
      <c r="C42" s="140"/>
      <c r="D42" s="140"/>
      <c r="E42" s="140" t="s">
        <v>93</v>
      </c>
      <c r="F42" s="140"/>
      <c r="G42" s="140"/>
      <c r="H42" s="140"/>
      <c r="I42" s="140" t="s">
        <v>96</v>
      </c>
      <c r="J42" s="140"/>
      <c r="K42" s="140"/>
      <c r="L42" s="140"/>
      <c r="M42" s="140" t="s">
        <v>97</v>
      </c>
      <c r="N42" s="140"/>
      <c r="O42" s="140"/>
      <c r="P42" s="14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 spans="2:30" ht="15.75" x14ac:dyDescent="0.25">
      <c r="B43" s="140" t="s">
        <v>94</v>
      </c>
      <c r="C43" s="140"/>
      <c r="D43" s="140"/>
      <c r="E43" s="140" t="s">
        <v>95</v>
      </c>
      <c r="F43" s="140"/>
      <c r="G43" s="140"/>
      <c r="H43" s="140"/>
      <c r="I43" s="140" t="s">
        <v>98</v>
      </c>
      <c r="J43" s="140"/>
      <c r="K43" s="140"/>
      <c r="L43" s="140"/>
      <c r="M43" s="139" t="s">
        <v>99</v>
      </c>
      <c r="N43" s="139"/>
      <c r="O43" s="139"/>
      <c r="P43" s="139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6" spans="2:30" ht="23.25" x14ac:dyDescent="0.4">
      <c r="B46" s="100" t="s">
        <v>158</v>
      </c>
      <c r="C46" s="100"/>
    </row>
    <row r="47" spans="2:30" ht="23.25" x14ac:dyDescent="0.4">
      <c r="B47" s="100" t="s">
        <v>157</v>
      </c>
      <c r="C47" s="100"/>
    </row>
  </sheetData>
  <mergeCells count="22">
    <mergeCell ref="AF11:AI11"/>
    <mergeCell ref="B42:D42"/>
    <mergeCell ref="E42:H42"/>
    <mergeCell ref="I42:L42"/>
    <mergeCell ref="M42:P42"/>
    <mergeCell ref="M43:P43"/>
    <mergeCell ref="M40:P40"/>
    <mergeCell ref="B41:D41"/>
    <mergeCell ref="E41:H41"/>
    <mergeCell ref="I41:L41"/>
    <mergeCell ref="M41:P41"/>
    <mergeCell ref="I40:L40"/>
    <mergeCell ref="B40:D40"/>
    <mergeCell ref="E40:H40"/>
    <mergeCell ref="B43:D43"/>
    <mergeCell ref="E43:H43"/>
    <mergeCell ref="I43:L43"/>
    <mergeCell ref="H3:Q5"/>
    <mergeCell ref="B10:D11"/>
    <mergeCell ref="B6:C6"/>
    <mergeCell ref="E10:F10"/>
    <mergeCell ref="E11:F11"/>
  </mergeCells>
  <conditionalFormatting sqref="Z13:Z31">
    <cfRule type="cellIs" dxfId="4" priority="4" operator="greaterThanOrEqual">
      <formula>1.1</formula>
    </cfRule>
    <cfRule type="cellIs" dxfId="3" priority="5" operator="lessThan">
      <formula>1.1</formula>
    </cfRule>
  </conditionalFormatting>
  <conditionalFormatting sqref="AG13:AG31">
    <cfRule type="cellIs" dxfId="2" priority="3" operator="lessThan">
      <formula>12</formula>
    </cfRule>
  </conditionalFormatting>
  <conditionalFormatting sqref="AH13:AH31">
    <cfRule type="cellIs" dxfId="1" priority="2" operator="lessThan">
      <formula>37</formula>
    </cfRule>
  </conditionalFormatting>
  <conditionalFormatting sqref="AI13:AI31">
    <cfRule type="cellIs" dxfId="0" priority="1" operator="greaterThanOrEqual">
      <formula>0.85</formula>
    </cfRule>
  </conditionalFormatting>
  <pageMargins left="0.25" right="0.25" top="0.75" bottom="0.75" header="0.3" footer="0.3"/>
  <pageSetup paperSize="9" scale="51" orientation="landscape" r:id="rId1"/>
  <rowBreaks count="1" manualBreakCount="1">
    <brk id="40" max="16383" man="1"/>
  </rowBreaks>
  <colBreaks count="1" manualBreakCount="1">
    <brk id="21" max="4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D48"/>
  <sheetViews>
    <sheetView showZeros="0" tabSelected="1" view="pageBreakPreview" topLeftCell="D1" zoomScaleNormal="100" zoomScaleSheetLayoutView="100" workbookViewId="0">
      <selection activeCell="S4" sqref="S4"/>
    </sheetView>
  </sheetViews>
  <sheetFormatPr defaultRowHeight="15" x14ac:dyDescent="0.25"/>
  <cols>
    <col min="1" max="3" width="9.140625" style="28"/>
    <col min="4" max="4" width="13.7109375" style="28" customWidth="1"/>
    <col min="5" max="5" width="12.42578125" style="28" bestFit="1" customWidth="1"/>
    <col min="6" max="6" width="9.5703125" style="28" customWidth="1"/>
    <col min="7" max="10" width="9.140625" style="28"/>
    <col min="11" max="11" width="10.85546875" style="28" customWidth="1"/>
    <col min="12" max="20" width="9.140625" style="28"/>
    <col min="21" max="21" width="11" style="28" customWidth="1"/>
    <col min="22" max="22" width="32.140625" style="28" customWidth="1"/>
    <col min="23" max="29" width="9.140625" style="28"/>
    <col min="30" max="30" width="9.140625" style="28" customWidth="1"/>
    <col min="31" max="16384" width="9.140625" style="28"/>
  </cols>
  <sheetData>
    <row r="2" spans="2:23" x14ac:dyDescent="0.25">
      <c r="D2" s="53" t="s">
        <v>60</v>
      </c>
      <c r="E2" s="53" t="s">
        <v>61</v>
      </c>
    </row>
    <row r="3" spans="2:23" ht="21.95" customHeight="1" x14ac:dyDescent="0.25">
      <c r="B3" s="142" t="s">
        <v>59</v>
      </c>
      <c r="C3" s="142"/>
      <c r="D3" s="29">
        <v>2</v>
      </c>
      <c r="E3" s="30">
        <v>2</v>
      </c>
      <c r="H3" s="144" t="s">
        <v>160</v>
      </c>
      <c r="I3" s="144"/>
      <c r="J3" s="144"/>
      <c r="K3" s="144"/>
      <c r="L3" s="144"/>
      <c r="M3" s="144"/>
      <c r="N3" s="144"/>
      <c r="O3" s="144"/>
      <c r="P3" s="144"/>
      <c r="Q3" s="144"/>
    </row>
    <row r="4" spans="2:23" ht="18" customHeight="1" x14ac:dyDescent="0.25">
      <c r="B4" s="142" t="s">
        <v>62</v>
      </c>
      <c r="C4" s="142"/>
      <c r="D4" s="29">
        <v>0.6</v>
      </c>
      <c r="E4" s="28" t="s">
        <v>64</v>
      </c>
      <c r="F4" s="28" t="s">
        <v>65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22"/>
      <c r="S4" s="122"/>
      <c r="T4" s="122"/>
    </row>
    <row r="5" spans="2:23" ht="18" customHeight="1" x14ac:dyDescent="0.25">
      <c r="B5" s="142" t="s">
        <v>63</v>
      </c>
      <c r="C5" s="142"/>
      <c r="D5" s="31">
        <f>PI()*D4*D4/4</f>
        <v>0.28274333882308139</v>
      </c>
      <c r="E5" s="28" t="s">
        <v>102</v>
      </c>
      <c r="F5" s="32">
        <v>5</v>
      </c>
      <c r="G5" s="28" t="s">
        <v>66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22"/>
      <c r="S5" s="122"/>
      <c r="T5" s="122"/>
    </row>
    <row r="6" spans="2:23" x14ac:dyDescent="0.25">
      <c r="B6" s="135" t="str">
        <f>SK!B8</f>
        <v>A BLOK SK-1</v>
      </c>
      <c r="C6" s="135"/>
      <c r="D6" s="135"/>
      <c r="H6" s="28" t="s">
        <v>161</v>
      </c>
    </row>
    <row r="7" spans="2:23" x14ac:dyDescent="0.25">
      <c r="B7" s="135"/>
      <c r="C7" s="135"/>
      <c r="D7" s="135"/>
    </row>
    <row r="8" spans="2:23" ht="78" x14ac:dyDescent="0.25">
      <c r="B8" s="33" t="s">
        <v>3</v>
      </c>
      <c r="C8" s="33" t="s">
        <v>4</v>
      </c>
      <c r="D8" s="34" t="s">
        <v>67</v>
      </c>
      <c r="E8" s="35" t="s">
        <v>103</v>
      </c>
      <c r="F8" s="35" t="s">
        <v>104</v>
      </c>
      <c r="G8" s="36" t="s">
        <v>68</v>
      </c>
      <c r="H8" s="35" t="s">
        <v>105</v>
      </c>
      <c r="I8" s="35" t="s">
        <v>106</v>
      </c>
      <c r="J8" s="33" t="s">
        <v>107</v>
      </c>
      <c r="K8" s="35" t="s">
        <v>108</v>
      </c>
      <c r="L8" s="35" t="s">
        <v>109</v>
      </c>
      <c r="M8" s="35" t="s">
        <v>110</v>
      </c>
      <c r="N8" s="35" t="s">
        <v>111</v>
      </c>
      <c r="O8" s="35" t="s">
        <v>112</v>
      </c>
      <c r="P8" s="35" t="s">
        <v>113</v>
      </c>
      <c r="Q8" s="35" t="s">
        <v>114</v>
      </c>
      <c r="R8" s="37" t="s">
        <v>115</v>
      </c>
      <c r="S8" s="35" t="s">
        <v>116</v>
      </c>
      <c r="T8" s="35" t="s">
        <v>117</v>
      </c>
      <c r="U8" s="34" t="s">
        <v>69</v>
      </c>
      <c r="V8" s="34" t="s">
        <v>52</v>
      </c>
      <c r="W8" s="33" t="s">
        <v>4</v>
      </c>
    </row>
    <row r="9" spans="2:23" ht="15.75" x14ac:dyDescent="0.25">
      <c r="B9" s="43">
        <f>IF('SIVILASMA ONCESI'!B9="","",'SIVILASMA ONCESI'!B9)</f>
        <v>1</v>
      </c>
      <c r="C9" s="44">
        <f>IF(B9="","",'SIVILASMA ONCESI'!C9)</f>
        <v>1.5</v>
      </c>
      <c r="D9" s="44">
        <f>IF(B9=0," ",'SIVILASMA ONCESI'!$H$7)</f>
        <v>2</v>
      </c>
      <c r="E9" s="44">
        <f>IF(B9=0," ",$F$5)</f>
        <v>5</v>
      </c>
      <c r="F9" s="44">
        <f>IF(B9=0," ",(4730*SQRT(E9/2)))</f>
        <v>7478.7866662982178</v>
      </c>
      <c r="G9" s="44">
        <f>IF(B9=0," ",0.5)</f>
        <v>0.5</v>
      </c>
      <c r="H9" s="44">
        <f>IF(B9=0," ",F9/(2*(1+G9)))</f>
        <v>2492.9288887660728</v>
      </c>
      <c r="I9" s="44">
        <f>IF(B9=0," ",'SIVILASMA ONCESI'!$D$2)</f>
        <v>134.69999999999999</v>
      </c>
      <c r="J9" s="44">
        <f>IF(B9=0," ",'SIVILASMA ONCESI'!R9)</f>
        <v>1.74</v>
      </c>
      <c r="K9" s="45">
        <f>IF(B9=0," ",J9*I9*I9)</f>
        <v>31570.716599999996</v>
      </c>
      <c r="L9" s="44">
        <f>IF(B9=0," ",(H9/K9)*1000)</f>
        <v>78.963329225351615</v>
      </c>
      <c r="M9" s="44">
        <f>IF(B9=0," ",$D$3*$E$3)</f>
        <v>4</v>
      </c>
      <c r="N9" s="46">
        <f>IF(B9=0," ",$D$5/M9)</f>
        <v>7.0685834705770348E-2</v>
      </c>
      <c r="O9" s="46">
        <f>IF(B9=0," ",1-N9)</f>
        <v>0.92931416529422961</v>
      </c>
      <c r="P9" s="46">
        <f>IF(B9=0," ",1/L9)</f>
        <v>1.2664106361905325E-2</v>
      </c>
      <c r="Q9" s="46">
        <f>IF(B9=0," ",(P9*(1/(N9+O9*P9))))</f>
        <v>0.15358852674966472</v>
      </c>
      <c r="R9" s="46">
        <f>IF(B9="","",SIVILASMA!X13)</f>
        <v>4.5583773712248323</v>
      </c>
      <c r="S9" s="46">
        <f>IF(B9=0," ",(R9*(1-Q9)*M9))</f>
        <v>15.433051625637603</v>
      </c>
      <c r="T9" s="46">
        <f>IF(B9=0," ",(1000*0.3*$D$5*(E9/2)^0.5))</f>
        <v>134.11694158824736</v>
      </c>
      <c r="U9" s="46">
        <f>IF(B9=0," ",IF(S9&lt;T9,1,0))</f>
        <v>1</v>
      </c>
      <c r="V9" s="46" t="str">
        <f>IF(B9="","",IF(U9=1,"KESME GÜVENLİĞİ SAĞLANMIŞTIR.","JET KOLONLARININ ÇAPINI , ARALIĞINI YA DA BETON DAYANIMINI ARTIRIN."))</f>
        <v>KESME GÜVENLİĞİ SAĞLANMIŞTIR.</v>
      </c>
      <c r="W9" s="47">
        <f>C9</f>
        <v>1.5</v>
      </c>
    </row>
    <row r="10" spans="2:23" ht="15.75" x14ac:dyDescent="0.25">
      <c r="B10" s="43">
        <f>IF('SIVILASMA ONCESI'!B10="","",'SIVILASMA ONCESI'!B10)</f>
        <v>2</v>
      </c>
      <c r="C10" s="44">
        <f>IF(B10="","",'SIVILASMA ONCESI'!C10)</f>
        <v>3</v>
      </c>
      <c r="D10" s="44">
        <f>IF(B10=0," ",'SIVILASMA ONCESI'!$H$7)</f>
        <v>2</v>
      </c>
      <c r="E10" s="44">
        <f t="shared" ref="E10:E27" si="0">IF(B10=0," ",$F$5)</f>
        <v>5</v>
      </c>
      <c r="F10" s="44">
        <f t="shared" ref="F10:F27" si="1">IF(B10=0," ",(4730*SQRT(E10/2)))</f>
        <v>7478.7866662982178</v>
      </c>
      <c r="G10" s="44">
        <f t="shared" ref="G10:G27" si="2">IF(B10=0," ",0.5)</f>
        <v>0.5</v>
      </c>
      <c r="H10" s="44">
        <f t="shared" ref="H10:H27" si="3">IF(B10=0," ",F10/(2*(1+G10)))</f>
        <v>2492.9288887660728</v>
      </c>
      <c r="I10" s="44">
        <f>IF(B10=0," ",'SIVILASMA ONCESI'!$D$2)</f>
        <v>134.69999999999999</v>
      </c>
      <c r="J10" s="44">
        <f>IF(B10=0," ",'SIVILASMA ONCESI'!R10)</f>
        <v>1.85</v>
      </c>
      <c r="K10" s="45">
        <f t="shared" ref="K10:K27" si="4">IF(B10=0," ",J10*I10*I10)</f>
        <v>33566.566499999994</v>
      </c>
      <c r="L10" s="44">
        <f t="shared" ref="L10:L22" si="5">IF(B10=0," ",(H10/K10)*1000)</f>
        <v>74.268212352492867</v>
      </c>
      <c r="M10" s="44">
        <f t="shared" ref="M10:M27" si="6">IF(B10=0," ",$D$3*$E$3)</f>
        <v>4</v>
      </c>
      <c r="N10" s="46">
        <f t="shared" ref="N10:N27" si="7">IF(B10=0," ",$D$5/M10)</f>
        <v>7.0685834705770348E-2</v>
      </c>
      <c r="O10" s="46">
        <f t="shared" ref="O10:O27" si="8">IF(B10=0," ",1-N10)</f>
        <v>0.92931416529422961</v>
      </c>
      <c r="P10" s="46">
        <f t="shared" ref="P10:P27" si="9">IF(B10=0," ",1/L10)</f>
        <v>1.3464710787083247E-2</v>
      </c>
      <c r="Q10" s="46">
        <f t="shared" ref="Q10:Q27" si="10">IF(B10=0," ",(P10*(1/(N10+O10*P10))))</f>
        <v>0.16183783701446325</v>
      </c>
      <c r="R10" s="46">
        <f>IF(B10="","",SIVILASMA!X14)</f>
        <v>9.5087872731057459</v>
      </c>
      <c r="S10" s="46">
        <f t="shared" ref="S10:S27" si="11">IF(B10=0," ",(R10*(1-Q10)*M10))</f>
        <v>31.879622832782619</v>
      </c>
      <c r="T10" s="46">
        <f t="shared" ref="T10:T27" si="12">IF(B10=0," ",(1000*0.3*$D$5*(E10/2)^0.5))</f>
        <v>134.11694158824736</v>
      </c>
      <c r="U10" s="46">
        <f t="shared" ref="U10:U27" si="13">IF(B10=0," ",IF(S10&lt;T10,1,0))</f>
        <v>1</v>
      </c>
      <c r="V10" s="46" t="str">
        <f t="shared" ref="V10:V21" si="14">IF(B10="","",IF(U10=1,"KESME GÜVENLİĞİ SAĞLANMIŞTIR.","JET KOLONLARININ ÇAPINI , ARALIĞINI YA DA BETON DAYANIMINI ARTIRIN."))</f>
        <v>KESME GÜVENLİĞİ SAĞLANMIŞTIR.</v>
      </c>
      <c r="W10" s="47">
        <f t="shared" ref="W10:W27" si="15">C10</f>
        <v>3</v>
      </c>
    </row>
    <row r="11" spans="2:23" ht="15.75" x14ac:dyDescent="0.25">
      <c r="B11" s="43">
        <f>IF('SIVILASMA ONCESI'!B11="","",'SIVILASMA ONCESI'!B11)</f>
        <v>3</v>
      </c>
      <c r="C11" s="44">
        <f>IF(B11="","",'SIVILASMA ONCESI'!C11)</f>
        <v>4.5</v>
      </c>
      <c r="D11" s="44">
        <f>IF(B11=0," ",'SIVILASMA ONCESI'!$H$7)</f>
        <v>2</v>
      </c>
      <c r="E11" s="44">
        <f t="shared" si="0"/>
        <v>5</v>
      </c>
      <c r="F11" s="44">
        <f t="shared" si="1"/>
        <v>7478.7866662982178</v>
      </c>
      <c r="G11" s="44">
        <f t="shared" si="2"/>
        <v>0.5</v>
      </c>
      <c r="H11" s="44">
        <f t="shared" si="3"/>
        <v>2492.9288887660728</v>
      </c>
      <c r="I11" s="44">
        <f>IF(B11=0," ",'SIVILASMA ONCESI'!$D$2)</f>
        <v>134.69999999999999</v>
      </c>
      <c r="J11" s="44">
        <f>IF(B11=0," ",'SIVILASMA ONCESI'!R11)</f>
        <v>1.83</v>
      </c>
      <c r="K11" s="45">
        <f t="shared" si="4"/>
        <v>33203.684699999991</v>
      </c>
      <c r="L11" s="44">
        <f t="shared" si="5"/>
        <v>75.079886804432689</v>
      </c>
      <c r="M11" s="44">
        <f t="shared" si="6"/>
        <v>4</v>
      </c>
      <c r="N11" s="46">
        <f t="shared" si="7"/>
        <v>7.0685834705770348E-2</v>
      </c>
      <c r="O11" s="46">
        <f t="shared" si="8"/>
        <v>0.92931416529422961</v>
      </c>
      <c r="P11" s="46">
        <f t="shared" si="9"/>
        <v>1.3319146346141805E-2</v>
      </c>
      <c r="Q11" s="46">
        <f t="shared" si="10"/>
        <v>0.16034895437879773</v>
      </c>
      <c r="R11" s="46">
        <f>IF(B11="","",SIVILASMA!X15)</f>
        <v>13.873968784797018</v>
      </c>
      <c r="S11" s="46">
        <f t="shared" si="11"/>
        <v>46.597169588282952</v>
      </c>
      <c r="T11" s="46">
        <f t="shared" si="12"/>
        <v>134.11694158824736</v>
      </c>
      <c r="U11" s="46">
        <f t="shared" si="13"/>
        <v>1</v>
      </c>
      <c r="V11" s="46" t="str">
        <f t="shared" si="14"/>
        <v>KESME GÜVENLİĞİ SAĞLANMIŞTIR.</v>
      </c>
      <c r="W11" s="47">
        <f t="shared" si="15"/>
        <v>4.5</v>
      </c>
    </row>
    <row r="12" spans="2:23" ht="15.75" x14ac:dyDescent="0.25">
      <c r="B12" s="43">
        <f>IF('SIVILASMA ONCESI'!B12="","",'SIVILASMA ONCESI'!B12)</f>
        <v>4</v>
      </c>
      <c r="C12" s="44">
        <f>IF(B12="","",'SIVILASMA ONCESI'!C12)</f>
        <v>6</v>
      </c>
      <c r="D12" s="44">
        <f>IF(B12=0," ",'SIVILASMA ONCESI'!$H$7)</f>
        <v>2</v>
      </c>
      <c r="E12" s="44">
        <f t="shared" si="0"/>
        <v>5</v>
      </c>
      <c r="F12" s="44">
        <f t="shared" si="1"/>
        <v>7478.7866662982178</v>
      </c>
      <c r="G12" s="44">
        <f t="shared" si="2"/>
        <v>0.5</v>
      </c>
      <c r="H12" s="44">
        <f t="shared" si="3"/>
        <v>2492.9288887660728</v>
      </c>
      <c r="I12" s="44">
        <f>IF(B12=0," ",'SIVILASMA ONCESI'!$D$2)</f>
        <v>134.69999999999999</v>
      </c>
      <c r="J12" s="44">
        <f>IF(B12=0," ",'SIVILASMA ONCESI'!R12)</f>
        <v>1.63</v>
      </c>
      <c r="K12" s="45">
        <f t="shared" si="4"/>
        <v>29574.866699999995</v>
      </c>
      <c r="L12" s="44">
        <f t="shared" si="5"/>
        <v>84.292142854056308</v>
      </c>
      <c r="M12" s="44">
        <f t="shared" si="6"/>
        <v>4</v>
      </c>
      <c r="N12" s="46">
        <f t="shared" si="7"/>
        <v>7.0685834705770348E-2</v>
      </c>
      <c r="O12" s="46">
        <f t="shared" si="8"/>
        <v>0.92931416529422961</v>
      </c>
      <c r="P12" s="46">
        <f t="shared" si="9"/>
        <v>1.1863501936727404E-2</v>
      </c>
      <c r="Q12" s="46">
        <f t="shared" si="10"/>
        <v>0.14518898915326739</v>
      </c>
      <c r="R12" s="46">
        <f>IF(B12="","",SIVILASMA!X16)</f>
        <v>16.213937613861386</v>
      </c>
      <c r="S12" s="46">
        <f t="shared" si="11"/>
        <v>55.439409606042844</v>
      </c>
      <c r="T12" s="46">
        <f t="shared" si="12"/>
        <v>134.11694158824736</v>
      </c>
      <c r="U12" s="46">
        <f t="shared" si="13"/>
        <v>1</v>
      </c>
      <c r="V12" s="46" t="str">
        <f t="shared" si="14"/>
        <v>KESME GÜVENLİĞİ SAĞLANMIŞTIR.</v>
      </c>
      <c r="W12" s="47">
        <f t="shared" si="15"/>
        <v>6</v>
      </c>
    </row>
    <row r="13" spans="2:23" ht="15.75" x14ac:dyDescent="0.25">
      <c r="B13" s="43">
        <f>IF('SIVILASMA ONCESI'!B13="","",'SIVILASMA ONCESI'!B13)</f>
        <v>5</v>
      </c>
      <c r="C13" s="44">
        <f>IF(B13="","",'SIVILASMA ONCESI'!C13)</f>
        <v>7.5</v>
      </c>
      <c r="D13" s="44">
        <f>IF(B13=0," ",'SIVILASMA ONCESI'!$H$7)</f>
        <v>2</v>
      </c>
      <c r="E13" s="44">
        <f t="shared" si="0"/>
        <v>5</v>
      </c>
      <c r="F13" s="44">
        <f t="shared" si="1"/>
        <v>7478.7866662982178</v>
      </c>
      <c r="G13" s="44">
        <f t="shared" si="2"/>
        <v>0.5</v>
      </c>
      <c r="H13" s="44">
        <f t="shared" si="3"/>
        <v>2492.9288887660728</v>
      </c>
      <c r="I13" s="44">
        <f>IF(B13=0," ",'SIVILASMA ONCESI'!$D$2)</f>
        <v>134.69999999999999</v>
      </c>
      <c r="J13" s="44">
        <f>IF(B13=0," ",'SIVILASMA ONCESI'!R13)</f>
        <v>1.86</v>
      </c>
      <c r="K13" s="45">
        <f t="shared" si="4"/>
        <v>33748.007399999995</v>
      </c>
      <c r="L13" s="44">
        <f t="shared" si="5"/>
        <v>73.86892088823214</v>
      </c>
      <c r="M13" s="44">
        <f t="shared" si="6"/>
        <v>4</v>
      </c>
      <c r="N13" s="46">
        <f t="shared" si="7"/>
        <v>7.0685834705770348E-2</v>
      </c>
      <c r="O13" s="46">
        <f t="shared" si="8"/>
        <v>0.92931416529422961</v>
      </c>
      <c r="P13" s="46">
        <f t="shared" si="9"/>
        <v>1.3537493007553971E-2</v>
      </c>
      <c r="Q13" s="46">
        <f t="shared" si="10"/>
        <v>0.16258046419690431</v>
      </c>
      <c r="R13" s="46">
        <f>IF(B13="","",SIVILASMA!X17)</f>
        <v>22.92474924461921</v>
      </c>
      <c r="S13" s="46">
        <f t="shared" si="11"/>
        <v>76.790531483325552</v>
      </c>
      <c r="T13" s="46">
        <f t="shared" si="12"/>
        <v>134.11694158824736</v>
      </c>
      <c r="U13" s="46">
        <f t="shared" si="13"/>
        <v>1</v>
      </c>
      <c r="V13" s="46" t="str">
        <f t="shared" si="14"/>
        <v>KESME GÜVENLİĞİ SAĞLANMIŞTIR.</v>
      </c>
      <c r="W13" s="47">
        <f t="shared" si="15"/>
        <v>7.5</v>
      </c>
    </row>
    <row r="14" spans="2:23" ht="15.75" x14ac:dyDescent="0.25">
      <c r="B14" s="43">
        <f>IF('SIVILASMA ONCESI'!B14="","",'SIVILASMA ONCESI'!B14)</f>
        <v>6</v>
      </c>
      <c r="C14" s="44">
        <f>IF(B14="","",'SIVILASMA ONCESI'!C14)</f>
        <v>9</v>
      </c>
      <c r="D14" s="44">
        <f>IF(B14=0," ",'SIVILASMA ONCESI'!$H$7)</f>
        <v>2</v>
      </c>
      <c r="E14" s="44">
        <f t="shared" si="0"/>
        <v>5</v>
      </c>
      <c r="F14" s="44">
        <f t="shared" si="1"/>
        <v>7478.7866662982178</v>
      </c>
      <c r="G14" s="44">
        <f t="shared" si="2"/>
        <v>0.5</v>
      </c>
      <c r="H14" s="44">
        <f t="shared" si="3"/>
        <v>2492.9288887660728</v>
      </c>
      <c r="I14" s="44">
        <f>IF(B14=0," ",'SIVILASMA ONCESI'!$D$2)</f>
        <v>134.69999999999999</v>
      </c>
      <c r="J14" s="44">
        <f>IF(B14=0," ",'SIVILASMA ONCESI'!R14)</f>
        <v>1.79</v>
      </c>
      <c r="K14" s="45">
        <f t="shared" si="4"/>
        <v>32477.921099999992</v>
      </c>
      <c r="L14" s="44">
        <f t="shared" si="5"/>
        <v>76.757649638051291</v>
      </c>
      <c r="M14" s="44">
        <f t="shared" si="6"/>
        <v>4</v>
      </c>
      <c r="N14" s="46">
        <f t="shared" si="7"/>
        <v>7.0685834705770348E-2</v>
      </c>
      <c r="O14" s="46">
        <f t="shared" si="8"/>
        <v>0.92931416529422961</v>
      </c>
      <c r="P14" s="46">
        <f t="shared" si="9"/>
        <v>1.3028017464258926E-2</v>
      </c>
      <c r="Q14" s="46">
        <f t="shared" si="10"/>
        <v>0.15735659302928251</v>
      </c>
      <c r="R14" s="46">
        <f>IF(B14="","",SIVILASMA!X18)</f>
        <v>26.39243158646617</v>
      </c>
      <c r="S14" s="46">
        <f t="shared" si="11"/>
        <v>88.957633881045723</v>
      </c>
      <c r="T14" s="46">
        <f t="shared" si="12"/>
        <v>134.11694158824736</v>
      </c>
      <c r="U14" s="46">
        <f t="shared" si="13"/>
        <v>1</v>
      </c>
      <c r="V14" s="46" t="str">
        <f t="shared" si="14"/>
        <v>KESME GÜVENLİĞİ SAĞLANMIŞTIR.</v>
      </c>
      <c r="W14" s="47">
        <f t="shared" si="15"/>
        <v>9</v>
      </c>
    </row>
    <row r="15" spans="2:23" ht="15.75" x14ac:dyDescent="0.25">
      <c r="B15" s="43">
        <f>IF('SIVILASMA ONCESI'!B15="","",'SIVILASMA ONCESI'!B15)</f>
        <v>7</v>
      </c>
      <c r="C15" s="44">
        <f>IF(B15="","",'SIVILASMA ONCESI'!C15)</f>
        <v>10.5</v>
      </c>
      <c r="D15" s="44">
        <f>IF(B15=0," ",'SIVILASMA ONCESI'!$H$7)</f>
        <v>2</v>
      </c>
      <c r="E15" s="44">
        <f t="shared" si="0"/>
        <v>5</v>
      </c>
      <c r="F15" s="44">
        <f t="shared" si="1"/>
        <v>7478.7866662982178</v>
      </c>
      <c r="G15" s="44">
        <f t="shared" si="2"/>
        <v>0.5</v>
      </c>
      <c r="H15" s="44">
        <f t="shared" si="3"/>
        <v>2492.9288887660728</v>
      </c>
      <c r="I15" s="44">
        <f>IF(B15=0," ",'SIVILASMA ONCESI'!$D$2)</f>
        <v>134.69999999999999</v>
      </c>
      <c r="J15" s="44">
        <f>IF(B15=0," ",'SIVILASMA ONCESI'!R15)</f>
        <v>1.86</v>
      </c>
      <c r="K15" s="45">
        <f t="shared" si="4"/>
        <v>33748.007399999995</v>
      </c>
      <c r="L15" s="44">
        <f t="shared" si="5"/>
        <v>73.86892088823214</v>
      </c>
      <c r="M15" s="44">
        <f t="shared" si="6"/>
        <v>4</v>
      </c>
      <c r="N15" s="46">
        <f t="shared" si="7"/>
        <v>7.0685834705770348E-2</v>
      </c>
      <c r="O15" s="46">
        <f t="shared" si="8"/>
        <v>0.92931416529422961</v>
      </c>
      <c r="P15" s="46">
        <f t="shared" si="9"/>
        <v>1.3537493007553971E-2</v>
      </c>
      <c r="Q15" s="46">
        <f t="shared" si="10"/>
        <v>0.16258046419690431</v>
      </c>
      <c r="R15" s="46">
        <f>IF(B15="","",SIVILASMA!X19)</f>
        <v>30.177327879310354</v>
      </c>
      <c r="S15" s="46">
        <f t="shared" si="11"/>
        <v>101.08433561787957</v>
      </c>
      <c r="T15" s="46">
        <f t="shared" si="12"/>
        <v>134.11694158824736</v>
      </c>
      <c r="U15" s="46">
        <f t="shared" si="13"/>
        <v>1</v>
      </c>
      <c r="V15" s="46" t="str">
        <f t="shared" si="14"/>
        <v>KESME GÜVENLİĞİ SAĞLANMIŞTIR.</v>
      </c>
      <c r="W15" s="47">
        <f t="shared" si="15"/>
        <v>10.5</v>
      </c>
    </row>
    <row r="16" spans="2:23" s="39" customFormat="1" ht="15.75" x14ac:dyDescent="0.25">
      <c r="B16" s="48">
        <f>IF('SIVILASMA ONCESI'!B16="","",'SIVILASMA ONCESI'!B16)</f>
        <v>8</v>
      </c>
      <c r="C16" s="49">
        <f>IF(B16="","",'SIVILASMA ONCESI'!C16)</f>
        <v>12</v>
      </c>
      <c r="D16" s="44">
        <f>IF(B16=0," ",'SIVILASMA ONCESI'!$H$7)</f>
        <v>2</v>
      </c>
      <c r="E16" s="44">
        <f t="shared" si="0"/>
        <v>5</v>
      </c>
      <c r="F16" s="44">
        <f t="shared" si="1"/>
        <v>7478.7866662982178</v>
      </c>
      <c r="G16" s="44">
        <f t="shared" si="2"/>
        <v>0.5</v>
      </c>
      <c r="H16" s="44">
        <f t="shared" si="3"/>
        <v>2492.9288887660728</v>
      </c>
      <c r="I16" s="44">
        <f>IF(B16=0," ",'SIVILASMA ONCESI'!$D$2)</f>
        <v>134.69999999999999</v>
      </c>
      <c r="J16" s="44">
        <f>IF(B16=0," ",'SIVILASMA ONCESI'!R16)</f>
        <v>1.83</v>
      </c>
      <c r="K16" s="45">
        <f t="shared" si="4"/>
        <v>33203.684699999991</v>
      </c>
      <c r="L16" s="44">
        <f t="shared" si="5"/>
        <v>75.079886804432689</v>
      </c>
      <c r="M16" s="44">
        <f t="shared" si="6"/>
        <v>4</v>
      </c>
      <c r="N16" s="46">
        <f t="shared" si="7"/>
        <v>7.0685834705770348E-2</v>
      </c>
      <c r="O16" s="46">
        <f t="shared" si="8"/>
        <v>0.92931416529422961</v>
      </c>
      <c r="P16" s="46">
        <f t="shared" si="9"/>
        <v>1.3319146346141805E-2</v>
      </c>
      <c r="Q16" s="46">
        <f t="shared" si="10"/>
        <v>0.16034895437879773</v>
      </c>
      <c r="R16" s="46">
        <f>IF(B16="","",SIVILASMA!X20)</f>
        <v>32.199908593800984</v>
      </c>
      <c r="S16" s="46">
        <f t="shared" si="11"/>
        <v>108.14674767876853</v>
      </c>
      <c r="T16" s="46">
        <f t="shared" si="12"/>
        <v>134.11694158824736</v>
      </c>
      <c r="U16" s="46">
        <f t="shared" si="13"/>
        <v>1</v>
      </c>
      <c r="V16" s="46" t="str">
        <f t="shared" si="14"/>
        <v>KESME GÜVENLİĞİ SAĞLANMIŞTIR.</v>
      </c>
      <c r="W16" s="47">
        <f t="shared" si="15"/>
        <v>12</v>
      </c>
    </row>
    <row r="17" spans="2:30" ht="15.75" x14ac:dyDescent="0.25">
      <c r="B17" s="43">
        <f>IF('SIVILASMA ONCESI'!B17="","",'SIVILASMA ONCESI'!B17)</f>
        <v>9</v>
      </c>
      <c r="C17" s="44">
        <f>IF(B17="","",'SIVILASMA ONCESI'!C17)</f>
        <v>13.5</v>
      </c>
      <c r="D17" s="44">
        <f>IF(B17=0," ",'SIVILASMA ONCESI'!$H$7)</f>
        <v>2</v>
      </c>
      <c r="E17" s="44">
        <f t="shared" si="0"/>
        <v>5</v>
      </c>
      <c r="F17" s="44">
        <f t="shared" si="1"/>
        <v>7478.7866662982178</v>
      </c>
      <c r="G17" s="44">
        <f t="shared" si="2"/>
        <v>0.5</v>
      </c>
      <c r="H17" s="44">
        <f t="shared" si="3"/>
        <v>2492.9288887660728</v>
      </c>
      <c r="I17" s="44">
        <f>IF(B17=0," ",'SIVILASMA ONCESI'!$D$2)</f>
        <v>134.69999999999999</v>
      </c>
      <c r="J17" s="44">
        <f>IF(B17=0," ",'SIVILASMA ONCESI'!R17)</f>
        <v>1.85</v>
      </c>
      <c r="K17" s="45">
        <f t="shared" si="4"/>
        <v>33566.566499999994</v>
      </c>
      <c r="L17" s="44">
        <f t="shared" si="5"/>
        <v>74.268212352492867</v>
      </c>
      <c r="M17" s="44">
        <f t="shared" si="6"/>
        <v>4</v>
      </c>
      <c r="N17" s="46">
        <f t="shared" si="7"/>
        <v>7.0685834705770348E-2</v>
      </c>
      <c r="O17" s="46">
        <f t="shared" si="8"/>
        <v>0.92931416529422961</v>
      </c>
      <c r="P17" s="46">
        <f t="shared" si="9"/>
        <v>1.3464710787083247E-2</v>
      </c>
      <c r="Q17" s="46">
        <f t="shared" si="10"/>
        <v>0.16183783701446325</v>
      </c>
      <c r="R17" s="46">
        <f>IF(B17="","",SIVILASMA!X21)</f>
        <v>34.732608841314935</v>
      </c>
      <c r="S17" s="46">
        <f t="shared" si="11"/>
        <v>116.4462342102684</v>
      </c>
      <c r="T17" s="46">
        <f t="shared" si="12"/>
        <v>134.11694158824736</v>
      </c>
      <c r="U17" s="46">
        <f t="shared" si="13"/>
        <v>1</v>
      </c>
      <c r="V17" s="46" t="str">
        <f t="shared" si="14"/>
        <v>KESME GÜVENLİĞİ SAĞLANMIŞTIR.</v>
      </c>
      <c r="W17" s="47">
        <f t="shared" si="15"/>
        <v>13.5</v>
      </c>
    </row>
    <row r="18" spans="2:30" ht="15.75" x14ac:dyDescent="0.25">
      <c r="B18" s="43">
        <f>IF('SIVILASMA ONCESI'!B18="","",'SIVILASMA ONCESI'!B18)</f>
        <v>10</v>
      </c>
      <c r="C18" s="44">
        <f>IF(B18="","",'SIVILASMA ONCESI'!C18)</f>
        <v>15</v>
      </c>
      <c r="D18" s="44">
        <f>IF(B18=0," ",'SIVILASMA ONCESI'!$H$7)</f>
        <v>2</v>
      </c>
      <c r="E18" s="44">
        <f t="shared" si="0"/>
        <v>5</v>
      </c>
      <c r="F18" s="44">
        <f t="shared" si="1"/>
        <v>7478.7866662982178</v>
      </c>
      <c r="G18" s="44">
        <f t="shared" si="2"/>
        <v>0.5</v>
      </c>
      <c r="H18" s="44">
        <f t="shared" si="3"/>
        <v>2492.9288887660728</v>
      </c>
      <c r="I18" s="44">
        <f>IF(B18=0," ",'SIVILASMA ONCESI'!$D$2)</f>
        <v>134.69999999999999</v>
      </c>
      <c r="J18" s="44">
        <f>IF(B18=0," ",'SIVILASMA ONCESI'!R18)</f>
        <v>1.84</v>
      </c>
      <c r="K18" s="45">
        <f t="shared" si="4"/>
        <v>33385.125599999992</v>
      </c>
      <c r="L18" s="44">
        <f t="shared" si="5"/>
        <v>74.671843941365111</v>
      </c>
      <c r="M18" s="44">
        <f t="shared" si="6"/>
        <v>4</v>
      </c>
      <c r="N18" s="46">
        <f t="shared" si="7"/>
        <v>7.0685834705770348E-2</v>
      </c>
      <c r="O18" s="46">
        <f t="shared" si="8"/>
        <v>0.92931416529422961</v>
      </c>
      <c r="P18" s="46">
        <f t="shared" si="9"/>
        <v>1.3391928566612527E-2</v>
      </c>
      <c r="Q18" s="46">
        <f t="shared" si="10"/>
        <v>0.16109400139244459</v>
      </c>
      <c r="R18" s="46">
        <f>IF(B18="","",SIVILASMA!X22)</f>
        <v>36.702164571428568</v>
      </c>
      <c r="S18" s="46">
        <f t="shared" si="11"/>
        <v>123.1586640834125</v>
      </c>
      <c r="T18" s="46">
        <f t="shared" si="12"/>
        <v>134.11694158824736</v>
      </c>
      <c r="U18" s="46">
        <f t="shared" si="13"/>
        <v>1</v>
      </c>
      <c r="V18" s="46" t="str">
        <f t="shared" si="14"/>
        <v>KESME GÜVENLİĞİ SAĞLANMIŞTIR.</v>
      </c>
      <c r="W18" s="47">
        <f t="shared" si="15"/>
        <v>15</v>
      </c>
    </row>
    <row r="19" spans="2:30" ht="15.75" x14ac:dyDescent="0.25">
      <c r="B19" s="43">
        <f>IF('SIVILASMA ONCESI'!B19="","",'SIVILASMA ONCESI'!B19)</f>
        <v>11</v>
      </c>
      <c r="C19" s="44">
        <f>IF(B19="","",'SIVILASMA ONCESI'!C19)</f>
        <v>16.5</v>
      </c>
      <c r="D19" s="44">
        <f>IF(B19=0," ",'SIVILASMA ONCESI'!$H$7)</f>
        <v>2</v>
      </c>
      <c r="E19" s="44">
        <f t="shared" si="0"/>
        <v>5</v>
      </c>
      <c r="F19" s="44">
        <f t="shared" si="1"/>
        <v>7478.7866662982178</v>
      </c>
      <c r="G19" s="44">
        <f t="shared" si="2"/>
        <v>0.5</v>
      </c>
      <c r="H19" s="44">
        <f t="shared" si="3"/>
        <v>2492.9288887660728</v>
      </c>
      <c r="I19" s="44">
        <f>IF(B19=0," ",'SIVILASMA ONCESI'!$D$2)</f>
        <v>134.69999999999999</v>
      </c>
      <c r="J19" s="44">
        <f>IF(B19=0," ",'SIVILASMA ONCESI'!R19)</f>
        <v>1.86</v>
      </c>
      <c r="K19" s="45">
        <f t="shared" si="4"/>
        <v>33748.007399999995</v>
      </c>
      <c r="L19" s="44">
        <f t="shared" si="5"/>
        <v>73.86892088823214</v>
      </c>
      <c r="M19" s="44">
        <f t="shared" si="6"/>
        <v>4</v>
      </c>
      <c r="N19" s="46">
        <f t="shared" si="7"/>
        <v>7.0685834705770348E-2</v>
      </c>
      <c r="O19" s="46">
        <f t="shared" si="8"/>
        <v>0.92931416529422961</v>
      </c>
      <c r="P19" s="46">
        <f t="shared" si="9"/>
        <v>1.3537493007553971E-2</v>
      </c>
      <c r="Q19" s="46">
        <f t="shared" si="10"/>
        <v>0.16258046419690431</v>
      </c>
      <c r="R19" s="46">
        <f>IF(B19="","",SIVILASMA!X23)</f>
        <v>38.478227705357149</v>
      </c>
      <c r="S19" s="46">
        <f t="shared" si="11"/>
        <v>128.889678334184</v>
      </c>
      <c r="T19" s="46">
        <f t="shared" si="12"/>
        <v>134.11694158824736</v>
      </c>
      <c r="U19" s="46">
        <f t="shared" si="13"/>
        <v>1</v>
      </c>
      <c r="V19" s="46" t="str">
        <f t="shared" si="14"/>
        <v>KESME GÜVENLİĞİ SAĞLANMIŞTIR.</v>
      </c>
      <c r="W19" s="47">
        <f t="shared" si="15"/>
        <v>16.5</v>
      </c>
    </row>
    <row r="20" spans="2:30" s="39" customFormat="1" ht="15.75" x14ac:dyDescent="0.25">
      <c r="B20" s="48">
        <f>IF('SIVILASMA ONCESI'!B20="","",'SIVILASMA ONCESI'!B20)</f>
        <v>12</v>
      </c>
      <c r="C20" s="49">
        <f>IF(B20="","",'SIVILASMA ONCESI'!C20)</f>
        <v>18</v>
      </c>
      <c r="D20" s="44">
        <f>IF(B20=0," ",'SIVILASMA ONCESI'!$H$7)</f>
        <v>2</v>
      </c>
      <c r="E20" s="44">
        <f t="shared" si="0"/>
        <v>5</v>
      </c>
      <c r="F20" s="44">
        <f t="shared" si="1"/>
        <v>7478.7866662982178</v>
      </c>
      <c r="G20" s="44">
        <f t="shared" si="2"/>
        <v>0.5</v>
      </c>
      <c r="H20" s="44">
        <f t="shared" si="3"/>
        <v>2492.9288887660728</v>
      </c>
      <c r="I20" s="44">
        <f>IF(B20=0," ",'SIVILASMA ONCESI'!$D$2)</f>
        <v>134.69999999999999</v>
      </c>
      <c r="J20" s="44">
        <f>IF(B20=0," ",'SIVILASMA ONCESI'!R20)</f>
        <v>1.87</v>
      </c>
      <c r="K20" s="45">
        <f t="shared" si="4"/>
        <v>33929.448299999996</v>
      </c>
      <c r="L20" s="44">
        <f t="shared" si="5"/>
        <v>73.4738999209154</v>
      </c>
      <c r="M20" s="44">
        <f t="shared" si="6"/>
        <v>4</v>
      </c>
      <c r="N20" s="46">
        <f t="shared" si="7"/>
        <v>7.0685834705770348E-2</v>
      </c>
      <c r="O20" s="46">
        <f t="shared" si="8"/>
        <v>0.92931416529422961</v>
      </c>
      <c r="P20" s="46">
        <f t="shared" si="9"/>
        <v>1.3610275228024689E-2</v>
      </c>
      <c r="Q20" s="46">
        <f t="shared" si="10"/>
        <v>0.1633218858822342</v>
      </c>
      <c r="R20" s="46">
        <f>IF(B20="","",SIVILASMA!X24)</f>
        <v>40.158260999999996</v>
      </c>
      <c r="S20" s="46">
        <f t="shared" si="11"/>
        <v>134.39815231891609</v>
      </c>
      <c r="T20" s="46">
        <f t="shared" si="12"/>
        <v>134.11694158824736</v>
      </c>
      <c r="U20" s="46">
        <f t="shared" si="13"/>
        <v>0</v>
      </c>
      <c r="V20" s="46" t="str">
        <f t="shared" si="14"/>
        <v>JET KOLONLARININ ÇAPINI , ARALIĞINI YA DA BETON DAYANIMINI ARTIRIN.</v>
      </c>
      <c r="W20" s="47">
        <f t="shared" si="15"/>
        <v>18</v>
      </c>
    </row>
    <row r="21" spans="2:30" ht="14.1" customHeight="1" x14ac:dyDescent="0.25">
      <c r="B21" s="43">
        <f>IF('SIVILASMA ONCESI'!B21="","",'SIVILASMA ONCESI'!B21)</f>
        <v>13</v>
      </c>
      <c r="C21" s="44">
        <f>IF(B21="","",'SIVILASMA ONCESI'!C21)</f>
        <v>19.5</v>
      </c>
      <c r="D21" s="44">
        <f>IF(B21=0," ",'SIVILASMA ONCESI'!$H$7)</f>
        <v>2</v>
      </c>
      <c r="E21" s="44">
        <f t="shared" si="0"/>
        <v>5</v>
      </c>
      <c r="F21" s="44">
        <f t="shared" si="1"/>
        <v>7478.7866662982178</v>
      </c>
      <c r="G21" s="44">
        <f t="shared" si="2"/>
        <v>0.5</v>
      </c>
      <c r="H21" s="44">
        <f t="shared" si="3"/>
        <v>2492.9288887660728</v>
      </c>
      <c r="I21" s="44">
        <f>IF(B21=0," ",'SIVILASMA ONCESI'!$D$2)</f>
        <v>134.69999999999999</v>
      </c>
      <c r="J21" s="44">
        <f>IF(B21=0," ",'SIVILASMA ONCESI'!R21)</f>
        <v>1.85</v>
      </c>
      <c r="K21" s="45">
        <f t="shared" si="4"/>
        <v>33566.566499999994</v>
      </c>
      <c r="L21" s="44">
        <f t="shared" si="5"/>
        <v>74.268212352492867</v>
      </c>
      <c r="M21" s="44">
        <f t="shared" si="6"/>
        <v>4</v>
      </c>
      <c r="N21" s="46">
        <f t="shared" si="7"/>
        <v>7.0685834705770348E-2</v>
      </c>
      <c r="O21" s="46">
        <f t="shared" si="8"/>
        <v>0.92931416529422961</v>
      </c>
      <c r="P21" s="46">
        <f t="shared" si="9"/>
        <v>1.3464710787083247E-2</v>
      </c>
      <c r="Q21" s="46">
        <f t="shared" si="10"/>
        <v>0.16183783701446325</v>
      </c>
      <c r="R21" s="46">
        <f>IF(B21="","",SIVILASMA!X25)</f>
        <v>40.192372657894737</v>
      </c>
      <c r="S21" s="46">
        <f t="shared" si="11"/>
        <v>134.75090400984718</v>
      </c>
      <c r="T21" s="46">
        <f t="shared" si="12"/>
        <v>134.11694158824736</v>
      </c>
      <c r="U21" s="46">
        <f t="shared" si="13"/>
        <v>0</v>
      </c>
      <c r="V21" s="46" t="str">
        <f t="shared" si="14"/>
        <v>JET KOLONLARININ ÇAPINI , ARALIĞINI YA DA BETON DAYANIMINI ARTIRIN.</v>
      </c>
      <c r="W21" s="47">
        <f t="shared" si="15"/>
        <v>19.5</v>
      </c>
    </row>
    <row r="22" spans="2:30" ht="15.75" x14ac:dyDescent="0.25">
      <c r="B22" s="43">
        <f>IF('SIVILASMA ONCESI'!B22="","",'SIVILASMA ONCESI'!B22)</f>
        <v>0</v>
      </c>
      <c r="C22" s="44" t="str">
        <f>IF(B22="","",'SIVILASMA ONCESI'!C22)</f>
        <v/>
      </c>
      <c r="D22" s="44" t="str">
        <f>IF(B22=0," ",'SIVILASMA ONCESI'!$H$7)</f>
        <v xml:space="preserve"> </v>
      </c>
      <c r="E22" s="44" t="str">
        <f t="shared" si="0"/>
        <v xml:space="preserve"> </v>
      </c>
      <c r="F22" s="44" t="str">
        <f t="shared" si="1"/>
        <v xml:space="preserve"> </v>
      </c>
      <c r="G22" s="44" t="str">
        <f t="shared" si="2"/>
        <v xml:space="preserve"> </v>
      </c>
      <c r="H22" s="44" t="str">
        <f t="shared" si="3"/>
        <v xml:space="preserve"> </v>
      </c>
      <c r="I22" s="44" t="str">
        <f>IF(B22=0," ",'SIVILASMA ONCESI'!$D$2)</f>
        <v xml:space="preserve"> </v>
      </c>
      <c r="J22" s="44" t="str">
        <f>IF(B22=0," ",'SIVILASMA ONCESI'!R22)</f>
        <v xml:space="preserve"> </v>
      </c>
      <c r="K22" s="45" t="str">
        <f t="shared" si="4"/>
        <v xml:space="preserve"> </v>
      </c>
      <c r="L22" s="44" t="str">
        <f t="shared" si="5"/>
        <v xml:space="preserve"> </v>
      </c>
      <c r="M22" s="44" t="str">
        <f t="shared" si="6"/>
        <v xml:space="preserve"> </v>
      </c>
      <c r="N22" s="46" t="str">
        <f t="shared" si="7"/>
        <v xml:space="preserve"> </v>
      </c>
      <c r="O22" s="46" t="str">
        <f t="shared" si="8"/>
        <v xml:space="preserve"> </v>
      </c>
      <c r="P22" s="46" t="str">
        <f t="shared" si="9"/>
        <v xml:space="preserve"> </v>
      </c>
      <c r="Q22" s="46" t="str">
        <f t="shared" si="10"/>
        <v xml:space="preserve"> </v>
      </c>
      <c r="R22" s="46" t="str">
        <f>IF(B22="","",SIVILASMA!X26)</f>
        <v xml:space="preserve"> </v>
      </c>
      <c r="S22" s="46" t="str">
        <f t="shared" si="11"/>
        <v xml:space="preserve"> </v>
      </c>
      <c r="T22" s="46" t="str">
        <f t="shared" si="12"/>
        <v xml:space="preserve"> </v>
      </c>
      <c r="U22" s="46" t="str">
        <f t="shared" si="13"/>
        <v xml:space="preserve"> </v>
      </c>
      <c r="V22" s="46"/>
      <c r="W22" s="47" t="str">
        <f t="shared" si="15"/>
        <v/>
      </c>
    </row>
    <row r="23" spans="2:30" ht="15.75" x14ac:dyDescent="0.25">
      <c r="B23" s="43">
        <f>IF('SIVILASMA ONCESI'!B23="","",'SIVILASMA ONCESI'!B23)</f>
        <v>0</v>
      </c>
      <c r="C23" s="44">
        <f>IF(B23="","",'SIVILASMA ONCESI'!C23)</f>
        <v>0</v>
      </c>
      <c r="D23" s="44" t="str">
        <f>IF(B23=0," ",'SIVILASMA ONCESI'!$H$7)</f>
        <v xml:space="preserve"> </v>
      </c>
      <c r="E23" s="44" t="str">
        <f t="shared" si="0"/>
        <v xml:space="preserve"> </v>
      </c>
      <c r="F23" s="44" t="str">
        <f t="shared" si="1"/>
        <v xml:space="preserve"> </v>
      </c>
      <c r="G23" s="44" t="str">
        <f t="shared" si="2"/>
        <v xml:space="preserve"> </v>
      </c>
      <c r="H23" s="44" t="str">
        <f t="shared" si="3"/>
        <v xml:space="preserve"> </v>
      </c>
      <c r="I23" s="44" t="str">
        <f>IF(B23=0," ",'SIVILASMA ONCESI'!$D$2)</f>
        <v xml:space="preserve"> </v>
      </c>
      <c r="J23" s="44" t="str">
        <f>IF(B23=0," ",'SIVILASMA ONCESI'!R23)</f>
        <v xml:space="preserve"> </v>
      </c>
      <c r="K23" s="45" t="str">
        <f t="shared" si="4"/>
        <v xml:space="preserve"> </v>
      </c>
      <c r="L23" s="44"/>
      <c r="M23" s="44" t="str">
        <f t="shared" si="6"/>
        <v xml:space="preserve"> </v>
      </c>
      <c r="N23" s="46" t="str">
        <f t="shared" si="7"/>
        <v xml:space="preserve"> </v>
      </c>
      <c r="O23" s="46" t="str">
        <f t="shared" si="8"/>
        <v xml:space="preserve"> </v>
      </c>
      <c r="P23" s="46" t="str">
        <f t="shared" si="9"/>
        <v xml:space="preserve"> </v>
      </c>
      <c r="Q23" s="46" t="str">
        <f t="shared" si="10"/>
        <v xml:space="preserve"> </v>
      </c>
      <c r="R23" s="46" t="str">
        <f>IF(B23="","",SIVILASMA!X27)</f>
        <v xml:space="preserve"> </v>
      </c>
      <c r="S23" s="46" t="str">
        <f t="shared" si="11"/>
        <v xml:space="preserve"> </v>
      </c>
      <c r="T23" s="46" t="str">
        <f t="shared" si="12"/>
        <v xml:space="preserve"> </v>
      </c>
      <c r="U23" s="46" t="str">
        <f t="shared" si="13"/>
        <v xml:space="preserve"> </v>
      </c>
      <c r="V23" s="46"/>
      <c r="W23" s="47">
        <f t="shared" si="15"/>
        <v>0</v>
      </c>
    </row>
    <row r="24" spans="2:30" ht="15.75" x14ac:dyDescent="0.25">
      <c r="B24" s="43">
        <f>IF('SIVILASMA ONCESI'!B24="","",'SIVILASMA ONCESI'!B24)</f>
        <v>0</v>
      </c>
      <c r="C24" s="44">
        <f>IF(B24="","",'SIVILASMA ONCESI'!C24)</f>
        <v>0</v>
      </c>
      <c r="D24" s="44" t="str">
        <f>IF(B24=0," ",'SIVILASMA ONCESI'!$H$7)</f>
        <v xml:space="preserve"> </v>
      </c>
      <c r="E24" s="44" t="str">
        <f t="shared" si="0"/>
        <v xml:space="preserve"> </v>
      </c>
      <c r="F24" s="44" t="str">
        <f t="shared" si="1"/>
        <v xml:space="preserve"> </v>
      </c>
      <c r="G24" s="44" t="str">
        <f t="shared" si="2"/>
        <v xml:space="preserve"> </v>
      </c>
      <c r="H24" s="44" t="str">
        <f t="shared" si="3"/>
        <v xml:space="preserve"> </v>
      </c>
      <c r="I24" s="44" t="str">
        <f>IF(B24=0," ",'SIVILASMA ONCESI'!$D$2)</f>
        <v xml:space="preserve"> </v>
      </c>
      <c r="J24" s="44" t="str">
        <f>IF(B24=0," ",'SIVILASMA ONCESI'!R24)</f>
        <v xml:space="preserve"> </v>
      </c>
      <c r="K24" s="45" t="str">
        <f t="shared" si="4"/>
        <v xml:space="preserve"> </v>
      </c>
      <c r="L24" s="44"/>
      <c r="M24" s="44" t="str">
        <f t="shared" si="6"/>
        <v xml:space="preserve"> </v>
      </c>
      <c r="N24" s="46" t="str">
        <f t="shared" si="7"/>
        <v xml:space="preserve"> </v>
      </c>
      <c r="O24" s="46" t="str">
        <f t="shared" si="8"/>
        <v xml:space="preserve"> </v>
      </c>
      <c r="P24" s="46" t="str">
        <f t="shared" si="9"/>
        <v xml:space="preserve"> </v>
      </c>
      <c r="Q24" s="46" t="str">
        <f t="shared" si="10"/>
        <v xml:space="preserve"> </v>
      </c>
      <c r="R24" s="46" t="str">
        <f>IF(B24="","",SIVILASMA!X28)</f>
        <v xml:space="preserve"> </v>
      </c>
      <c r="S24" s="46" t="str">
        <f t="shared" si="11"/>
        <v xml:space="preserve"> </v>
      </c>
      <c r="T24" s="46" t="str">
        <f t="shared" si="12"/>
        <v xml:space="preserve"> </v>
      </c>
      <c r="U24" s="46" t="str">
        <f t="shared" si="13"/>
        <v xml:space="preserve"> </v>
      </c>
      <c r="V24" s="46"/>
      <c r="W24" s="47">
        <f t="shared" si="15"/>
        <v>0</v>
      </c>
    </row>
    <row r="25" spans="2:30" ht="15.75" x14ac:dyDescent="0.25">
      <c r="B25" s="43">
        <f>IF('SIVILASMA ONCESI'!B25="","",'SIVILASMA ONCESI'!B25)</f>
        <v>0</v>
      </c>
      <c r="C25" s="44">
        <f>IF(B25="","",'SIVILASMA ONCESI'!C25)</f>
        <v>0</v>
      </c>
      <c r="D25" s="44" t="str">
        <f>IF(B25=0," ",'SIVILASMA ONCESI'!$H$7)</f>
        <v xml:space="preserve"> </v>
      </c>
      <c r="E25" s="44" t="str">
        <f t="shared" si="0"/>
        <v xml:space="preserve"> </v>
      </c>
      <c r="F25" s="44" t="str">
        <f t="shared" si="1"/>
        <v xml:space="preserve"> </v>
      </c>
      <c r="G25" s="44" t="str">
        <f t="shared" si="2"/>
        <v xml:space="preserve"> </v>
      </c>
      <c r="H25" s="44" t="str">
        <f t="shared" si="3"/>
        <v xml:space="preserve"> </v>
      </c>
      <c r="I25" s="44" t="str">
        <f>IF(B25=0," ",'SIVILASMA ONCESI'!$D$2)</f>
        <v xml:space="preserve"> </v>
      </c>
      <c r="J25" s="44" t="str">
        <f>IF(B25=0," ",'SIVILASMA ONCESI'!R25)</f>
        <v xml:space="preserve"> </v>
      </c>
      <c r="K25" s="45" t="str">
        <f t="shared" si="4"/>
        <v xml:space="preserve"> </v>
      </c>
      <c r="L25" s="44"/>
      <c r="M25" s="44" t="str">
        <f t="shared" si="6"/>
        <v xml:space="preserve"> </v>
      </c>
      <c r="N25" s="46" t="str">
        <f t="shared" si="7"/>
        <v xml:space="preserve"> </v>
      </c>
      <c r="O25" s="46" t="str">
        <f t="shared" si="8"/>
        <v xml:space="preserve"> </v>
      </c>
      <c r="P25" s="46" t="str">
        <f t="shared" si="9"/>
        <v xml:space="preserve"> </v>
      </c>
      <c r="Q25" s="46" t="str">
        <f t="shared" si="10"/>
        <v xml:space="preserve"> </v>
      </c>
      <c r="R25" s="46" t="str">
        <f>IF(B25="","",SIVILASMA!X29)</f>
        <v xml:space="preserve"> </v>
      </c>
      <c r="S25" s="46" t="str">
        <f t="shared" si="11"/>
        <v xml:space="preserve"> </v>
      </c>
      <c r="T25" s="46" t="str">
        <f t="shared" si="12"/>
        <v xml:space="preserve"> </v>
      </c>
      <c r="U25" s="46" t="str">
        <f t="shared" si="13"/>
        <v xml:space="preserve"> </v>
      </c>
      <c r="V25" s="46"/>
      <c r="W25" s="47">
        <f t="shared" si="15"/>
        <v>0</v>
      </c>
    </row>
    <row r="26" spans="2:30" ht="15.75" x14ac:dyDescent="0.25">
      <c r="B26" s="43">
        <f>IF('SIVILASMA ONCESI'!B26="","",'SIVILASMA ONCESI'!B26)</f>
        <v>0</v>
      </c>
      <c r="C26" s="44">
        <f>IF(B26="","",'SIVILASMA ONCESI'!C26)</f>
        <v>0</v>
      </c>
      <c r="D26" s="44" t="str">
        <f>IF(B26=0," ",'SIVILASMA ONCESI'!$H$7)</f>
        <v xml:space="preserve"> </v>
      </c>
      <c r="E26" s="44" t="str">
        <f t="shared" si="0"/>
        <v xml:space="preserve"> </v>
      </c>
      <c r="F26" s="44" t="str">
        <f t="shared" si="1"/>
        <v xml:space="preserve"> </v>
      </c>
      <c r="G26" s="44" t="str">
        <f t="shared" si="2"/>
        <v xml:space="preserve"> </v>
      </c>
      <c r="H26" s="44" t="str">
        <f t="shared" si="3"/>
        <v xml:space="preserve"> </v>
      </c>
      <c r="I26" s="44" t="str">
        <f>IF(B26=0," ",'SIVILASMA ONCESI'!$D$2)</f>
        <v xml:space="preserve"> </v>
      </c>
      <c r="J26" s="44" t="str">
        <f>IF(B26=0," ",'SIVILASMA ONCESI'!R26)</f>
        <v xml:space="preserve"> </v>
      </c>
      <c r="K26" s="45" t="str">
        <f t="shared" si="4"/>
        <v xml:space="preserve"> </v>
      </c>
      <c r="L26" s="44"/>
      <c r="M26" s="44" t="str">
        <f t="shared" si="6"/>
        <v xml:space="preserve"> </v>
      </c>
      <c r="N26" s="46" t="str">
        <f t="shared" si="7"/>
        <v xml:space="preserve"> </v>
      </c>
      <c r="O26" s="46" t="str">
        <f t="shared" si="8"/>
        <v xml:space="preserve"> </v>
      </c>
      <c r="P26" s="46" t="str">
        <f t="shared" si="9"/>
        <v xml:space="preserve"> </v>
      </c>
      <c r="Q26" s="46" t="str">
        <f t="shared" si="10"/>
        <v xml:space="preserve"> </v>
      </c>
      <c r="R26" s="46" t="str">
        <f>IF(B26="","",SIVILASMA!X30)</f>
        <v xml:space="preserve"> </v>
      </c>
      <c r="S26" s="46" t="str">
        <f t="shared" si="11"/>
        <v xml:space="preserve"> </v>
      </c>
      <c r="T26" s="46" t="str">
        <f t="shared" si="12"/>
        <v xml:space="preserve"> </v>
      </c>
      <c r="U26" s="46" t="str">
        <f t="shared" si="13"/>
        <v xml:space="preserve"> </v>
      </c>
      <c r="V26" s="46"/>
      <c r="W26" s="47">
        <f t="shared" si="15"/>
        <v>0</v>
      </c>
    </row>
    <row r="27" spans="2:30" ht="15.75" x14ac:dyDescent="0.25">
      <c r="B27" s="43">
        <f>IF('SIVILASMA ONCESI'!B27="","",'SIVILASMA ONCESI'!B27)</f>
        <v>0</v>
      </c>
      <c r="C27" s="44">
        <f>IF(B27="","",'SIVILASMA ONCESI'!C27)</f>
        <v>0</v>
      </c>
      <c r="D27" s="44" t="str">
        <f>IF(B27=0," ",'SIVILASMA ONCESI'!$H$7)</f>
        <v xml:space="preserve"> </v>
      </c>
      <c r="E27" s="44" t="str">
        <f t="shared" si="0"/>
        <v xml:space="preserve"> </v>
      </c>
      <c r="F27" s="44" t="str">
        <f t="shared" si="1"/>
        <v xml:space="preserve"> </v>
      </c>
      <c r="G27" s="44" t="str">
        <f t="shared" si="2"/>
        <v xml:space="preserve"> </v>
      </c>
      <c r="H27" s="44" t="str">
        <f t="shared" si="3"/>
        <v xml:space="preserve"> </v>
      </c>
      <c r="I27" s="44" t="str">
        <f>IF(B27=0," ",'SIVILASMA ONCESI'!$D$2)</f>
        <v xml:space="preserve"> </v>
      </c>
      <c r="J27" s="44" t="str">
        <f>IF(B27=0," ",'SIVILASMA ONCESI'!R27)</f>
        <v xml:space="preserve"> </v>
      </c>
      <c r="K27" s="45" t="str">
        <f t="shared" si="4"/>
        <v xml:space="preserve"> </v>
      </c>
      <c r="L27" s="44"/>
      <c r="M27" s="44" t="str">
        <f t="shared" si="6"/>
        <v xml:space="preserve"> </v>
      </c>
      <c r="N27" s="46" t="str">
        <f t="shared" si="7"/>
        <v xml:space="preserve"> </v>
      </c>
      <c r="O27" s="46" t="str">
        <f t="shared" si="8"/>
        <v xml:space="preserve"> </v>
      </c>
      <c r="P27" s="46" t="str">
        <f t="shared" si="9"/>
        <v xml:space="preserve"> </v>
      </c>
      <c r="Q27" s="46" t="str">
        <f t="shared" si="10"/>
        <v xml:space="preserve"> </v>
      </c>
      <c r="R27" s="46" t="str">
        <f>IF(B27="","",SIVILASMA!X31)</f>
        <v xml:space="preserve"> </v>
      </c>
      <c r="S27" s="46" t="str">
        <f t="shared" si="11"/>
        <v xml:space="preserve"> </v>
      </c>
      <c r="T27" s="46" t="str">
        <f t="shared" si="12"/>
        <v xml:space="preserve"> </v>
      </c>
      <c r="U27" s="46" t="str">
        <f t="shared" si="13"/>
        <v xml:space="preserve"> </v>
      </c>
      <c r="V27" s="46"/>
      <c r="W27" s="47">
        <f t="shared" si="15"/>
        <v>0</v>
      </c>
    </row>
    <row r="29" spans="2:30" ht="41.25" customHeight="1" x14ac:dyDescent="0.35">
      <c r="B29" s="40" t="s">
        <v>3</v>
      </c>
      <c r="C29" s="40" t="s">
        <v>4</v>
      </c>
      <c r="D29" s="41" t="s">
        <v>118</v>
      </c>
      <c r="E29" s="41" t="s">
        <v>119</v>
      </c>
      <c r="F29" s="42" t="s">
        <v>114</v>
      </c>
      <c r="G29" s="52" t="s">
        <v>120</v>
      </c>
      <c r="H29" s="143" t="s">
        <v>121</v>
      </c>
      <c r="I29" s="143"/>
      <c r="J29" s="143"/>
      <c r="K29" s="149" t="s">
        <v>70</v>
      </c>
      <c r="L29" s="149"/>
      <c r="M29" s="149"/>
      <c r="N29" s="149" t="s">
        <v>71</v>
      </c>
      <c r="O29" s="149"/>
      <c r="P29" s="149"/>
      <c r="Q29" s="149"/>
      <c r="AD29" s="28" t="s">
        <v>72</v>
      </c>
    </row>
    <row r="30" spans="2:30" ht="15.75" x14ac:dyDescent="0.25">
      <c r="B30" s="43">
        <f>IF('SIVILASMA ONCESI'!B9="","",'SIVILASMA ONCESI'!B9)</f>
        <v>1</v>
      </c>
      <c r="C30" s="44">
        <f>C9</f>
        <v>1.5</v>
      </c>
      <c r="D30" s="46">
        <f>IF(B30=0," ",SIVILASMA!W13)</f>
        <v>8.6807129751907937</v>
      </c>
      <c r="E30" s="46">
        <f t="shared" ref="E30:E48" si="16">IF(B30="","",R9)</f>
        <v>4.5583773712248323</v>
      </c>
      <c r="F30" s="46">
        <f>IF(B30=0," ",Q9)</f>
        <v>0.15358852674966472</v>
      </c>
      <c r="G30" s="46">
        <f>IF(B30=0," ",E30*F30)</f>
        <v>0.70011446481543149</v>
      </c>
      <c r="H30" s="145">
        <f>IF(B30=0," ",D30/G30)</f>
        <v>12.398991038528617</v>
      </c>
      <c r="I30" s="145"/>
      <c r="J30" s="145"/>
      <c r="K30" s="146" t="str">
        <f>IF(B30="","",SIVILASMA!AB13)</f>
        <v>Y.A.S.S. ÜSTÜ</v>
      </c>
      <c r="L30" s="147"/>
      <c r="M30" s="148"/>
      <c r="N30" s="146" t="s">
        <v>58</v>
      </c>
      <c r="O30" s="147"/>
      <c r="P30" s="147"/>
      <c r="Q30" s="148"/>
      <c r="AD30" s="28">
        <f>IF(B30=0," ",ABS(H30))</f>
        <v>12.398991038528617</v>
      </c>
    </row>
    <row r="31" spans="2:30" ht="15.75" x14ac:dyDescent="0.25">
      <c r="B31" s="43">
        <f>IF('SIVILASMA ONCESI'!B10="","",'SIVILASMA ONCESI'!B10)</f>
        <v>2</v>
      </c>
      <c r="C31" s="44">
        <f t="shared" ref="C31:C48" si="17">C10</f>
        <v>3</v>
      </c>
      <c r="D31" s="46">
        <f>IF(B31=0," ",SIVILASMA!W14)</f>
        <v>4.8922503419867498</v>
      </c>
      <c r="E31" s="46">
        <f t="shared" si="16"/>
        <v>9.5087872731057459</v>
      </c>
      <c r="F31" s="46">
        <f t="shared" ref="F31:F48" si="18">IF(B31=0," ",Q10)</f>
        <v>0.16183783701446325</v>
      </c>
      <c r="G31" s="46">
        <f t="shared" ref="G31:G48" si="19">IF(B31=0," ",E31*F31)</f>
        <v>1.5388815649100902</v>
      </c>
      <c r="H31" s="145">
        <f t="shared" ref="H31:H48" si="20">IF(B31=0," ",D31/G31)</f>
        <v>3.1790947747642826</v>
      </c>
      <c r="I31" s="145"/>
      <c r="J31" s="145"/>
      <c r="K31" s="146" t="str">
        <f>IF(B31="","",SIVILASMA!AB14)</f>
        <v>SIVILAŞMA YOK</v>
      </c>
      <c r="L31" s="147"/>
      <c r="M31" s="148"/>
      <c r="N31" s="146" t="str">
        <f t="shared" ref="N31:N48" si="21">IF(B31=0," ",IF(K31="SIVILAŞMA YOK.","SIVILAŞMA YOK.",IF(AD31&gt;1.1,"SIVILAŞMA YOK","SIVILAŞMA VAR")))</f>
        <v>SIVILAŞMA YOK</v>
      </c>
      <c r="O31" s="147"/>
      <c r="P31" s="147"/>
      <c r="Q31" s="148"/>
      <c r="AD31" s="28">
        <f t="shared" ref="AD31:AD48" si="22">IF(B31=0," ",ABS(H31))</f>
        <v>3.1790947747642826</v>
      </c>
    </row>
    <row r="32" spans="2:30" ht="15.75" x14ac:dyDescent="0.25">
      <c r="B32" s="43">
        <f>IF('SIVILASMA ONCESI'!B11="","",'SIVILASMA ONCESI'!B11)</f>
        <v>3</v>
      </c>
      <c r="C32" s="44">
        <f t="shared" si="17"/>
        <v>4.5</v>
      </c>
      <c r="D32" s="46">
        <f>IF(B32=0," ",SIVILASMA!W15)</f>
        <v>13.354163015240488</v>
      </c>
      <c r="E32" s="46">
        <f t="shared" si="16"/>
        <v>13.873968784797018</v>
      </c>
      <c r="F32" s="46">
        <f t="shared" si="18"/>
        <v>0.16034895437879773</v>
      </c>
      <c r="G32" s="46">
        <f t="shared" si="19"/>
        <v>2.224676387726281</v>
      </c>
      <c r="H32" s="145">
        <f t="shared" si="20"/>
        <v>6.0027440795058924</v>
      </c>
      <c r="I32" s="145"/>
      <c r="J32" s="145"/>
      <c r="K32" s="146" t="str">
        <f>IF(B32="","",SIVILASMA!AB15)</f>
        <v>SIVILAŞMA YOK</v>
      </c>
      <c r="L32" s="147"/>
      <c r="M32" s="148"/>
      <c r="N32" s="146" t="str">
        <f t="shared" si="21"/>
        <v>SIVILAŞMA YOK</v>
      </c>
      <c r="O32" s="147"/>
      <c r="P32" s="147"/>
      <c r="Q32" s="148"/>
      <c r="AD32" s="28">
        <f t="shared" si="22"/>
        <v>6.0027440795058924</v>
      </c>
    </row>
    <row r="33" spans="2:30" ht="15.75" x14ac:dyDescent="0.25">
      <c r="B33" s="43">
        <f>IF('SIVILASMA ONCESI'!B12="","",'SIVILASMA ONCESI'!B12)</f>
        <v>4</v>
      </c>
      <c r="C33" s="44">
        <f t="shared" si="17"/>
        <v>6</v>
      </c>
      <c r="D33" s="46">
        <f>IF(B33=0," ",SIVILASMA!W16)</f>
        <v>22.343433493502115</v>
      </c>
      <c r="E33" s="46">
        <f t="shared" si="16"/>
        <v>16.213937613861386</v>
      </c>
      <c r="F33" s="46">
        <f t="shared" si="18"/>
        <v>0.14518898915326739</v>
      </c>
      <c r="G33" s="46">
        <f t="shared" si="19"/>
        <v>2.3540852123506748</v>
      </c>
      <c r="H33" s="145">
        <f t="shared" si="20"/>
        <v>9.4913443983580574</v>
      </c>
      <c r="I33" s="145"/>
      <c r="J33" s="145"/>
      <c r="K33" s="146" t="str">
        <f>IF(B33="","",SIVILASMA!AB16)</f>
        <v>SIVILAŞMA YOK</v>
      </c>
      <c r="L33" s="147"/>
      <c r="M33" s="148"/>
      <c r="N33" s="146" t="str">
        <f t="shared" si="21"/>
        <v>SIVILAŞMA YOK</v>
      </c>
      <c r="O33" s="147"/>
      <c r="P33" s="147"/>
      <c r="Q33" s="148"/>
      <c r="AD33" s="28">
        <f t="shared" si="22"/>
        <v>9.4913443983580574</v>
      </c>
    </row>
    <row r="34" spans="2:30" ht="15.75" x14ac:dyDescent="0.25">
      <c r="B34" s="43">
        <f>IF('SIVILASMA ONCESI'!B13="","",'SIVILASMA ONCESI'!B13)</f>
        <v>5</v>
      </c>
      <c r="C34" s="44">
        <f t="shared" si="17"/>
        <v>7.5</v>
      </c>
      <c r="D34" s="46">
        <f>IF(B34=0," ",SIVILASMA!W17)</f>
        <v>14.742837567351698</v>
      </c>
      <c r="E34" s="46">
        <f t="shared" si="16"/>
        <v>22.92474924461921</v>
      </c>
      <c r="F34" s="46">
        <f t="shared" si="18"/>
        <v>0.16258046419690431</v>
      </c>
      <c r="G34" s="46">
        <f t="shared" si="19"/>
        <v>3.7271163737878226</v>
      </c>
      <c r="H34" s="145">
        <f t="shared" si="20"/>
        <v>3.9555613747495446</v>
      </c>
      <c r="I34" s="145"/>
      <c r="J34" s="145"/>
      <c r="K34" s="146" t="str">
        <f>IF(B34="","",SIVILASMA!AB17)</f>
        <v>SIVILAŞMA YOK</v>
      </c>
      <c r="L34" s="147"/>
      <c r="M34" s="148"/>
      <c r="N34" s="146" t="str">
        <f t="shared" si="21"/>
        <v>SIVILAŞMA YOK</v>
      </c>
      <c r="O34" s="147"/>
      <c r="P34" s="147"/>
      <c r="Q34" s="148"/>
      <c r="AD34" s="28">
        <f t="shared" si="22"/>
        <v>3.9555613747495446</v>
      </c>
    </row>
    <row r="35" spans="2:30" ht="15.75" x14ac:dyDescent="0.25">
      <c r="B35" s="43">
        <f>IF('SIVILASMA ONCESI'!B14="","",'SIVILASMA ONCESI'!B14)</f>
        <v>6</v>
      </c>
      <c r="C35" s="44">
        <f t="shared" si="17"/>
        <v>9</v>
      </c>
      <c r="D35" s="46">
        <f>IF(B35=0," ",SIVILASMA!W18)</f>
        <v>16.982916025817676</v>
      </c>
      <c r="E35" s="46">
        <f t="shared" si="16"/>
        <v>26.39243158646617</v>
      </c>
      <c r="F35" s="46">
        <f t="shared" si="18"/>
        <v>0.15735659302928251</v>
      </c>
      <c r="G35" s="46">
        <f t="shared" si="19"/>
        <v>4.1530231162047384</v>
      </c>
      <c r="H35" s="145">
        <f t="shared" si="20"/>
        <v>4.0892900305687681</v>
      </c>
      <c r="I35" s="145"/>
      <c r="J35" s="145"/>
      <c r="K35" s="146" t="str">
        <f>IF(B35="","",SIVILASMA!AB18)</f>
        <v>SIVILAŞMA YOK</v>
      </c>
      <c r="L35" s="147"/>
      <c r="M35" s="148"/>
      <c r="N35" s="146" t="str">
        <f t="shared" si="21"/>
        <v>SIVILAŞMA YOK</v>
      </c>
      <c r="O35" s="147"/>
      <c r="P35" s="147"/>
      <c r="Q35" s="148"/>
      <c r="AD35" s="28">
        <f t="shared" si="22"/>
        <v>4.0892900305687681</v>
      </c>
    </row>
    <row r="36" spans="2:30" ht="15.75" x14ac:dyDescent="0.25">
      <c r="B36" s="43">
        <f>IF('SIVILASMA ONCESI'!B15="","",'SIVILASMA ONCESI'!B15)</f>
        <v>7</v>
      </c>
      <c r="C36" s="44">
        <f t="shared" si="17"/>
        <v>10.5</v>
      </c>
      <c r="D36" s="46">
        <f>IF(B36=0," ",SIVILASMA!W19)</f>
        <v>13.999694883751014</v>
      </c>
      <c r="E36" s="46">
        <f t="shared" si="16"/>
        <v>30.177327879310354</v>
      </c>
      <c r="F36" s="46">
        <f t="shared" si="18"/>
        <v>0.16258046419690431</v>
      </c>
      <c r="G36" s="46">
        <f t="shared" si="19"/>
        <v>4.9062439748404589</v>
      </c>
      <c r="H36" s="145">
        <f t="shared" si="20"/>
        <v>2.853444499609552</v>
      </c>
      <c r="I36" s="145"/>
      <c r="J36" s="145"/>
      <c r="K36" s="146" t="str">
        <f>IF(B36="","",SIVILASMA!AB19)</f>
        <v>SIVILAŞMA YOK</v>
      </c>
      <c r="L36" s="147"/>
      <c r="M36" s="148"/>
      <c r="N36" s="146" t="str">
        <f t="shared" si="21"/>
        <v>SIVILAŞMA YOK</v>
      </c>
      <c r="O36" s="147"/>
      <c r="P36" s="147"/>
      <c r="Q36" s="148"/>
      <c r="AD36" s="28">
        <f t="shared" si="22"/>
        <v>2.853444499609552</v>
      </c>
    </row>
    <row r="37" spans="2:30" ht="15.75" x14ac:dyDescent="0.25">
      <c r="B37" s="43">
        <f>IF('SIVILASMA ONCESI'!B16="","",'SIVILASMA ONCESI'!B16)</f>
        <v>8</v>
      </c>
      <c r="C37" s="44">
        <f t="shared" si="17"/>
        <v>12</v>
      </c>
      <c r="D37" s="46">
        <f>IF(B37=0," ",SIVILASMA!W20)</f>
        <v>20.24705192179114</v>
      </c>
      <c r="E37" s="46">
        <f t="shared" si="16"/>
        <v>32.199908593800984</v>
      </c>
      <c r="F37" s="46">
        <f t="shared" si="18"/>
        <v>0.16034895437879773</v>
      </c>
      <c r="G37" s="46">
        <f t="shared" si="19"/>
        <v>5.1632216741088506</v>
      </c>
      <c r="H37" s="145">
        <f t="shared" si="20"/>
        <v>3.9213989248845671</v>
      </c>
      <c r="I37" s="145"/>
      <c r="J37" s="145"/>
      <c r="K37" s="146" t="str">
        <f>IF(B37="","",SIVILASMA!AB20)</f>
        <v>SIVILAŞMA YOK</v>
      </c>
      <c r="L37" s="147"/>
      <c r="M37" s="148"/>
      <c r="N37" s="146" t="str">
        <f t="shared" si="21"/>
        <v>SIVILAŞMA YOK</v>
      </c>
      <c r="O37" s="147"/>
      <c r="P37" s="147"/>
      <c r="Q37" s="148"/>
      <c r="AD37" s="28">
        <f t="shared" si="22"/>
        <v>3.9213989248845671</v>
      </c>
    </row>
    <row r="38" spans="2:30" ht="15.75" x14ac:dyDescent="0.25">
      <c r="B38" s="43">
        <f>IF('SIVILASMA ONCESI'!B17="","",'SIVILASMA ONCESI'!B17)</f>
        <v>9</v>
      </c>
      <c r="C38" s="44">
        <f t="shared" si="17"/>
        <v>13.5</v>
      </c>
      <c r="D38" s="46">
        <f>IF(B38=0," ",SIVILASMA!W21)</f>
        <v>33.915773857738365</v>
      </c>
      <c r="E38" s="46">
        <f t="shared" si="16"/>
        <v>34.732608841314935</v>
      </c>
      <c r="F38" s="46">
        <f t="shared" si="18"/>
        <v>0.16183783701446325</v>
      </c>
      <c r="G38" s="46">
        <f t="shared" si="19"/>
        <v>5.6210502887478313</v>
      </c>
      <c r="H38" s="145">
        <f t="shared" si="20"/>
        <v>6.0337076018748066</v>
      </c>
      <c r="I38" s="145"/>
      <c r="J38" s="145"/>
      <c r="K38" s="146" t="str">
        <f>IF(B38="","",SIVILASMA!AB21)</f>
        <v>SIVILAŞMA YOK</v>
      </c>
      <c r="L38" s="147"/>
      <c r="M38" s="148"/>
      <c r="N38" s="146" t="str">
        <f t="shared" si="21"/>
        <v>SIVILAŞMA YOK</v>
      </c>
      <c r="O38" s="147"/>
      <c r="P38" s="147"/>
      <c r="Q38" s="148"/>
      <c r="AD38" s="28">
        <f t="shared" si="22"/>
        <v>6.0337076018748066</v>
      </c>
    </row>
    <row r="39" spans="2:30" ht="15.75" x14ac:dyDescent="0.25">
      <c r="B39" s="43">
        <f>IF('SIVILASMA ONCESI'!B18="","",'SIVILASMA ONCESI'!B18)</f>
        <v>10</v>
      </c>
      <c r="C39" s="44">
        <f t="shared" si="17"/>
        <v>15</v>
      </c>
      <c r="D39" s="46">
        <f>IF(B39=0," ",SIVILASMA!W22)</f>
        <v>20.938622826687133</v>
      </c>
      <c r="E39" s="46">
        <f t="shared" si="16"/>
        <v>36.702164571428568</v>
      </c>
      <c r="F39" s="46">
        <f t="shared" si="18"/>
        <v>0.16109400139244459</v>
      </c>
      <c r="G39" s="46">
        <f t="shared" si="19"/>
        <v>5.9124985505754442</v>
      </c>
      <c r="H39" s="145">
        <f t="shared" si="20"/>
        <v>3.5414169910704243</v>
      </c>
      <c r="I39" s="145"/>
      <c r="J39" s="145"/>
      <c r="K39" s="146" t="str">
        <f>IF(B39="","",SIVILASMA!AB22)</f>
        <v>SIVILAŞMA YOK</v>
      </c>
      <c r="L39" s="147"/>
      <c r="M39" s="148"/>
      <c r="N39" s="146" t="str">
        <f t="shared" si="21"/>
        <v>SIVILAŞMA YOK</v>
      </c>
      <c r="O39" s="147"/>
      <c r="P39" s="147"/>
      <c r="Q39" s="148"/>
      <c r="AD39" s="28">
        <f t="shared" si="22"/>
        <v>3.5414169910704243</v>
      </c>
    </row>
    <row r="40" spans="2:30" ht="15.75" x14ac:dyDescent="0.25">
      <c r="B40" s="43">
        <f>IF('SIVILASMA ONCESI'!B19="","",'SIVILASMA ONCESI'!B19)</f>
        <v>11</v>
      </c>
      <c r="C40" s="44">
        <f t="shared" si="17"/>
        <v>16.5</v>
      </c>
      <c r="D40" s="46">
        <f>IF(B40=0," ",SIVILASMA!W23)</f>
        <v>22.884381663885716</v>
      </c>
      <c r="E40" s="46">
        <f t="shared" si="16"/>
        <v>38.478227705357149</v>
      </c>
      <c r="F40" s="46">
        <f t="shared" si="18"/>
        <v>0.16258046419690431</v>
      </c>
      <c r="G40" s="46">
        <f t="shared" si="19"/>
        <v>6.2558081218111496</v>
      </c>
      <c r="H40" s="145">
        <f t="shared" si="20"/>
        <v>3.6581015942765753</v>
      </c>
      <c r="I40" s="145"/>
      <c r="J40" s="145"/>
      <c r="K40" s="146" t="str">
        <f>IF(B40="","",SIVILASMA!AB23)</f>
        <v>SIVILAŞMA YOK</v>
      </c>
      <c r="L40" s="147"/>
      <c r="M40" s="148"/>
      <c r="N40" s="146" t="str">
        <f t="shared" si="21"/>
        <v>SIVILAŞMA YOK</v>
      </c>
      <c r="O40" s="147"/>
      <c r="P40" s="147"/>
      <c r="Q40" s="148"/>
      <c r="AD40" s="28">
        <f t="shared" si="22"/>
        <v>3.6581015942765753</v>
      </c>
    </row>
    <row r="41" spans="2:30" ht="15.75" x14ac:dyDescent="0.25">
      <c r="B41" s="43">
        <f>IF('SIVILASMA ONCESI'!B20="","",'SIVILASMA ONCESI'!B20)</f>
        <v>12</v>
      </c>
      <c r="C41" s="44">
        <f t="shared" si="17"/>
        <v>18</v>
      </c>
      <c r="D41" s="46">
        <f>IF(B41=0," ",SIVILASMA!W24)</f>
        <v>-3484.9580505294753</v>
      </c>
      <c r="E41" s="46">
        <f t="shared" si="16"/>
        <v>40.158260999999996</v>
      </c>
      <c r="F41" s="46">
        <f t="shared" si="18"/>
        <v>0.1633218858822342</v>
      </c>
      <c r="G41" s="46">
        <f t="shared" si="19"/>
        <v>6.5587229202709754</v>
      </c>
      <c r="H41" s="145">
        <f t="shared" si="20"/>
        <v>-531.34704619988634</v>
      </c>
      <c r="I41" s="145"/>
      <c r="J41" s="145"/>
      <c r="K41" s="146" t="str">
        <f>IF(B41="","",SIVILASMA!AB24)</f>
        <v>SIVILAŞMA YOK</v>
      </c>
      <c r="L41" s="147"/>
      <c r="M41" s="148"/>
      <c r="N41" s="146" t="str">
        <f t="shared" si="21"/>
        <v>SIVILAŞMA YOK</v>
      </c>
      <c r="O41" s="147"/>
      <c r="P41" s="147"/>
      <c r="Q41" s="148"/>
      <c r="AD41" s="28">
        <f t="shared" si="22"/>
        <v>531.34704619988634</v>
      </c>
    </row>
    <row r="42" spans="2:30" ht="15.75" x14ac:dyDescent="0.25">
      <c r="B42" s="43">
        <f>IF('SIVILASMA ONCESI'!B21="","",'SIVILASMA ONCESI'!B21)</f>
        <v>13</v>
      </c>
      <c r="C42" s="44">
        <f t="shared" si="17"/>
        <v>19.5</v>
      </c>
      <c r="D42" s="46">
        <f>IF(B42=0," ",SIVILASMA!W25)</f>
        <v>3.8436438594593914</v>
      </c>
      <c r="E42" s="46">
        <f t="shared" si="16"/>
        <v>40.192372657894737</v>
      </c>
      <c r="F42" s="46">
        <f t="shared" si="18"/>
        <v>0.16183783701446325</v>
      </c>
      <c r="G42" s="46">
        <f t="shared" si="19"/>
        <v>6.5046466554329374</v>
      </c>
      <c r="H42" s="145">
        <f t="shared" si="20"/>
        <v>0.59090740251801821</v>
      </c>
      <c r="I42" s="145"/>
      <c r="J42" s="145"/>
      <c r="K42" s="146" t="str">
        <f>IF(B42="","",SIVILASMA!AB25)</f>
        <v>SIVILAŞMA YOK</v>
      </c>
      <c r="L42" s="147"/>
      <c r="M42" s="148"/>
      <c r="N42" s="146" t="str">
        <f t="shared" si="21"/>
        <v>SIVILAŞMA VAR</v>
      </c>
      <c r="O42" s="147"/>
      <c r="P42" s="147"/>
      <c r="Q42" s="148"/>
      <c r="AD42" s="28">
        <f t="shared" si="22"/>
        <v>0.59090740251801821</v>
      </c>
    </row>
    <row r="43" spans="2:30" ht="15.75" x14ac:dyDescent="0.25">
      <c r="B43" s="43">
        <f>IF('SIVILASMA ONCESI'!B22="","",'SIVILASMA ONCESI'!B22)</f>
        <v>0</v>
      </c>
      <c r="C43" s="44" t="str">
        <f t="shared" si="17"/>
        <v/>
      </c>
      <c r="D43" s="46" t="str">
        <f>IF(B43=0," ",SIVILASMA!W26)</f>
        <v xml:space="preserve"> </v>
      </c>
      <c r="E43" s="46" t="str">
        <f t="shared" si="16"/>
        <v xml:space="preserve"> </v>
      </c>
      <c r="F43" s="46" t="str">
        <f t="shared" si="18"/>
        <v xml:space="preserve"> </v>
      </c>
      <c r="G43" s="46" t="str">
        <f t="shared" si="19"/>
        <v xml:space="preserve"> </v>
      </c>
      <c r="H43" s="145" t="str">
        <f t="shared" si="20"/>
        <v xml:space="preserve"> </v>
      </c>
      <c r="I43" s="145"/>
      <c r="J43" s="145"/>
      <c r="K43" s="146">
        <f>IF(B43="","",SIVILASMA!AB26)</f>
        <v>0</v>
      </c>
      <c r="L43" s="147"/>
      <c r="M43" s="148"/>
      <c r="N43" s="146" t="str">
        <f t="shared" si="21"/>
        <v xml:space="preserve"> </v>
      </c>
      <c r="O43" s="147"/>
      <c r="P43" s="147"/>
      <c r="Q43" s="148"/>
      <c r="AD43" s="28" t="str">
        <f t="shared" si="22"/>
        <v xml:space="preserve"> </v>
      </c>
    </row>
    <row r="44" spans="2:30" ht="15.75" x14ac:dyDescent="0.25">
      <c r="B44" s="43">
        <f>IF('SIVILASMA ONCESI'!B23="","",'SIVILASMA ONCESI'!B23)</f>
        <v>0</v>
      </c>
      <c r="C44" s="44">
        <f t="shared" si="17"/>
        <v>0</v>
      </c>
      <c r="D44" s="46" t="str">
        <f>IF(B44=0," ",SIVILASMA!W27)</f>
        <v xml:space="preserve"> </v>
      </c>
      <c r="E44" s="46" t="str">
        <f t="shared" si="16"/>
        <v xml:space="preserve"> </v>
      </c>
      <c r="F44" s="46" t="str">
        <f t="shared" si="18"/>
        <v xml:space="preserve"> </v>
      </c>
      <c r="G44" s="46" t="str">
        <f t="shared" si="19"/>
        <v xml:space="preserve"> </v>
      </c>
      <c r="H44" s="145" t="str">
        <f t="shared" si="20"/>
        <v xml:space="preserve"> </v>
      </c>
      <c r="I44" s="145"/>
      <c r="J44" s="145"/>
      <c r="K44" s="146">
        <f>IF(B44="","",SIVILASMA!AB27)</f>
        <v>0</v>
      </c>
      <c r="L44" s="147"/>
      <c r="M44" s="148"/>
      <c r="N44" s="146" t="str">
        <f t="shared" si="21"/>
        <v xml:space="preserve"> </v>
      </c>
      <c r="O44" s="147"/>
      <c r="P44" s="147"/>
      <c r="Q44" s="148"/>
      <c r="AD44" s="28" t="str">
        <f t="shared" si="22"/>
        <v xml:space="preserve"> </v>
      </c>
    </row>
    <row r="45" spans="2:30" ht="15.75" x14ac:dyDescent="0.25">
      <c r="B45" s="43">
        <f>IF('SIVILASMA ONCESI'!B24="","",'SIVILASMA ONCESI'!B24)</f>
        <v>0</v>
      </c>
      <c r="C45" s="44">
        <f t="shared" si="17"/>
        <v>0</v>
      </c>
      <c r="D45" s="46" t="str">
        <f>IF(B45=0," ",SIVILASMA!W28)</f>
        <v xml:space="preserve"> </v>
      </c>
      <c r="E45" s="46" t="str">
        <f t="shared" si="16"/>
        <v xml:space="preserve"> </v>
      </c>
      <c r="F45" s="46" t="str">
        <f t="shared" si="18"/>
        <v xml:space="preserve"> </v>
      </c>
      <c r="G45" s="46" t="str">
        <f t="shared" si="19"/>
        <v xml:space="preserve"> </v>
      </c>
      <c r="H45" s="145" t="str">
        <f t="shared" si="20"/>
        <v xml:space="preserve"> </v>
      </c>
      <c r="I45" s="145"/>
      <c r="J45" s="145"/>
      <c r="K45" s="146">
        <f>IF(B45="","",SIVILASMA!AB28)</f>
        <v>0</v>
      </c>
      <c r="L45" s="147"/>
      <c r="M45" s="148"/>
      <c r="N45" s="146" t="str">
        <f t="shared" si="21"/>
        <v xml:space="preserve"> </v>
      </c>
      <c r="O45" s="147"/>
      <c r="P45" s="147"/>
      <c r="Q45" s="148"/>
      <c r="AD45" s="28" t="str">
        <f t="shared" si="22"/>
        <v xml:space="preserve"> </v>
      </c>
    </row>
    <row r="46" spans="2:30" ht="15.75" x14ac:dyDescent="0.25">
      <c r="B46" s="43">
        <f>IF('SIVILASMA ONCESI'!B25="","",'SIVILASMA ONCESI'!B25)</f>
        <v>0</v>
      </c>
      <c r="C46" s="44">
        <f t="shared" si="17"/>
        <v>0</v>
      </c>
      <c r="D46" s="46" t="str">
        <f>IF(B46=0," ",SIVILASMA!W29)</f>
        <v xml:space="preserve"> </v>
      </c>
      <c r="E46" s="46" t="str">
        <f t="shared" si="16"/>
        <v xml:space="preserve"> </v>
      </c>
      <c r="F46" s="46" t="str">
        <f t="shared" si="18"/>
        <v xml:space="preserve"> </v>
      </c>
      <c r="G46" s="46" t="str">
        <f t="shared" si="19"/>
        <v xml:space="preserve"> </v>
      </c>
      <c r="H46" s="145" t="str">
        <f t="shared" si="20"/>
        <v xml:space="preserve"> </v>
      </c>
      <c r="I46" s="145"/>
      <c r="J46" s="145"/>
      <c r="K46" s="146">
        <f>IF(B46="","",SIVILASMA!AB29)</f>
        <v>0</v>
      </c>
      <c r="L46" s="147"/>
      <c r="M46" s="148"/>
      <c r="N46" s="146" t="str">
        <f t="shared" si="21"/>
        <v xml:space="preserve"> </v>
      </c>
      <c r="O46" s="147"/>
      <c r="P46" s="147"/>
      <c r="Q46" s="148"/>
      <c r="AD46" s="28" t="str">
        <f t="shared" si="22"/>
        <v xml:space="preserve"> </v>
      </c>
    </row>
    <row r="47" spans="2:30" ht="15.75" x14ac:dyDescent="0.25">
      <c r="B47" s="43">
        <f>IF('SIVILASMA ONCESI'!B26="","",'SIVILASMA ONCESI'!B26)</f>
        <v>0</v>
      </c>
      <c r="C47" s="44">
        <f t="shared" si="17"/>
        <v>0</v>
      </c>
      <c r="D47" s="46" t="str">
        <f>IF(B47=0," ",SIVILASMA!W30)</f>
        <v xml:space="preserve"> </v>
      </c>
      <c r="E47" s="46" t="str">
        <f t="shared" si="16"/>
        <v xml:space="preserve"> </v>
      </c>
      <c r="F47" s="46" t="str">
        <f t="shared" si="18"/>
        <v xml:space="preserve"> </v>
      </c>
      <c r="G47" s="46" t="str">
        <f t="shared" si="19"/>
        <v xml:space="preserve"> </v>
      </c>
      <c r="H47" s="145" t="str">
        <f t="shared" si="20"/>
        <v xml:space="preserve"> </v>
      </c>
      <c r="I47" s="145"/>
      <c r="J47" s="145"/>
      <c r="K47" s="146">
        <f>IF(B47="","",SIVILASMA!AB30)</f>
        <v>0</v>
      </c>
      <c r="L47" s="147"/>
      <c r="M47" s="148"/>
      <c r="N47" s="146" t="str">
        <f t="shared" si="21"/>
        <v xml:space="preserve"> </v>
      </c>
      <c r="O47" s="147"/>
      <c r="P47" s="147"/>
      <c r="Q47" s="148"/>
      <c r="AD47" s="28" t="str">
        <f t="shared" si="22"/>
        <v xml:space="preserve"> </v>
      </c>
    </row>
    <row r="48" spans="2:30" ht="15.75" x14ac:dyDescent="0.25">
      <c r="B48" s="43">
        <f>IF('SIVILASMA ONCESI'!B27="","",'SIVILASMA ONCESI'!B27)</f>
        <v>0</v>
      </c>
      <c r="C48" s="44">
        <f t="shared" si="17"/>
        <v>0</v>
      </c>
      <c r="D48" s="46" t="str">
        <f>IF(B48=0," ",SIVILASMA!W31)</f>
        <v xml:space="preserve"> </v>
      </c>
      <c r="E48" s="46" t="str">
        <f t="shared" si="16"/>
        <v xml:space="preserve"> </v>
      </c>
      <c r="F48" s="46" t="str">
        <f t="shared" si="18"/>
        <v xml:space="preserve"> </v>
      </c>
      <c r="G48" s="46" t="str">
        <f t="shared" si="19"/>
        <v xml:space="preserve"> </v>
      </c>
      <c r="H48" s="145" t="str">
        <f t="shared" si="20"/>
        <v xml:space="preserve"> </v>
      </c>
      <c r="I48" s="145"/>
      <c r="J48" s="145"/>
      <c r="K48" s="146">
        <f>IF(B48="","",SIVILASMA!AB31)</f>
        <v>0</v>
      </c>
      <c r="L48" s="147"/>
      <c r="M48" s="148"/>
      <c r="N48" s="146" t="str">
        <f t="shared" si="21"/>
        <v xml:space="preserve"> </v>
      </c>
      <c r="O48" s="147"/>
      <c r="P48" s="147"/>
      <c r="Q48" s="148"/>
      <c r="AD48" s="28" t="str">
        <f t="shared" si="22"/>
        <v xml:space="preserve"> </v>
      </c>
    </row>
  </sheetData>
  <mergeCells count="65">
    <mergeCell ref="N45:Q45"/>
    <mergeCell ref="N46:Q46"/>
    <mergeCell ref="N37:Q37"/>
    <mergeCell ref="N38:Q38"/>
    <mergeCell ref="N39:Q39"/>
    <mergeCell ref="N42:Q42"/>
    <mergeCell ref="N43:Q43"/>
    <mergeCell ref="N32:Q32"/>
    <mergeCell ref="N33:Q33"/>
    <mergeCell ref="N34:Q34"/>
    <mergeCell ref="N35:Q35"/>
    <mergeCell ref="N36:Q36"/>
    <mergeCell ref="K40:M40"/>
    <mergeCell ref="N40:Q40"/>
    <mergeCell ref="K29:M29"/>
    <mergeCell ref="N29:Q29"/>
    <mergeCell ref="K30:M30"/>
    <mergeCell ref="K31:M31"/>
    <mergeCell ref="K32:M32"/>
    <mergeCell ref="K34:M34"/>
    <mergeCell ref="K33:M33"/>
    <mergeCell ref="K35:M35"/>
    <mergeCell ref="K36:M36"/>
    <mergeCell ref="K37:M37"/>
    <mergeCell ref="K38:M38"/>
    <mergeCell ref="K39:M39"/>
    <mergeCell ref="N30:Q30"/>
    <mergeCell ref="N31:Q31"/>
    <mergeCell ref="H45:J45"/>
    <mergeCell ref="H46:J46"/>
    <mergeCell ref="H47:J47"/>
    <mergeCell ref="H48:J48"/>
    <mergeCell ref="N41:Q41"/>
    <mergeCell ref="K41:M41"/>
    <mergeCell ref="K42:M42"/>
    <mergeCell ref="K43:M43"/>
    <mergeCell ref="K44:M44"/>
    <mergeCell ref="K45:M45"/>
    <mergeCell ref="K46:M46"/>
    <mergeCell ref="K47:M47"/>
    <mergeCell ref="K48:M48"/>
    <mergeCell ref="N47:Q47"/>
    <mergeCell ref="N48:Q48"/>
    <mergeCell ref="N44:Q44"/>
    <mergeCell ref="H40:J40"/>
    <mergeCell ref="H41:J41"/>
    <mergeCell ref="H42:J42"/>
    <mergeCell ref="H43:J43"/>
    <mergeCell ref="H44:J44"/>
    <mergeCell ref="H35:J35"/>
    <mergeCell ref="H36:J36"/>
    <mergeCell ref="H37:J37"/>
    <mergeCell ref="H38:J38"/>
    <mergeCell ref="H39:J39"/>
    <mergeCell ref="H30:J30"/>
    <mergeCell ref="H31:J31"/>
    <mergeCell ref="H32:J32"/>
    <mergeCell ref="H33:J33"/>
    <mergeCell ref="H34:J34"/>
    <mergeCell ref="B6:D7"/>
    <mergeCell ref="B3:C3"/>
    <mergeCell ref="B4:C4"/>
    <mergeCell ref="B5:C5"/>
    <mergeCell ref="H29:J29"/>
    <mergeCell ref="H3:Q5"/>
  </mergeCells>
  <pageMargins left="0.25" right="0.25" top="0.75" bottom="0.75" header="0.3" footer="0.3"/>
  <pageSetup paperSize="9" scale="5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46D3F0B-3A04-48AF-B742-61BF2E91A7D1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U9:U27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</vt:i4>
      </vt:variant>
    </vt:vector>
  </HeadingPairs>
  <TitlesOfParts>
    <vt:vector size="8" baseType="lpstr">
      <vt:lpstr>SK</vt:lpstr>
      <vt:lpstr>SIVILASMA ONCESI</vt:lpstr>
      <vt:lpstr>SIVILASMA</vt:lpstr>
      <vt:lpstr>JET SONRASI-1</vt:lpstr>
      <vt:lpstr>'JET SONRASI-1'!Yazdırma_Alanı</vt:lpstr>
      <vt:lpstr>SIVILASMA!Yazdırma_Alanı</vt:lpstr>
      <vt:lpstr>'SIVILASMA ONCESI'!Yazdırma_Alanı</vt:lpstr>
      <vt:lpstr>SK!Yazdırma_Alanı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fth altk</dc:creator>
  <cp:lastModifiedBy>fth altk</cp:lastModifiedBy>
  <cp:lastPrinted>2026-09-16T07:55:38Z</cp:lastPrinted>
  <dcterms:created xsi:type="dcterms:W3CDTF">2015-06-05T18:19:34Z</dcterms:created>
  <dcterms:modified xsi:type="dcterms:W3CDTF">2026-09-19T00:31:08Z</dcterms:modified>
</cp:coreProperties>
</file>